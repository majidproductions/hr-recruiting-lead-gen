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Interview Scorecards" sheetId="1" state="visible" r:id="rId3"/>
    <sheet name="2. Job Description Templates" sheetId="2" state="visible" r:id="rId4"/>
    <sheet name="3. Email Scripts" sheetId="3" state="visible" r:id="rId5"/>
    <sheet name="4. Hiring Checklist" sheetId="4" state="visible" r:id="rId6"/>
    <sheet name="5. Cost-Per-Hire Calculator" sheetId="5" state="visible" r:id="rId7"/>
    <sheet name="6. 30-60-90 Onboarding Pla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<sst xmlns="http://schemas.openxmlformats.org/spreadsheetml/2006/main" count="650" uniqueCount="357">
  <si>
    <t xml:space="preserve">HR HIRING TOOLKIT — Interview Scorecard Templates</t>
  </si>
  <si>
    <t xml:space="preserve">Rate each criterion 1–5  |  1=Poor  2=Below expectations  3=Meets  4=Exceeds  5=Outstanding  |  Passing threshold: avg ≥ 3.5</t>
  </si>
  <si>
    <t xml:space="preserve">Role: Software Engineer</t>
  </si>
  <si>
    <t xml:space="preserve">Criterion</t>
  </si>
  <si>
    <t xml:space="preserve">Interviewer 1</t>
  </si>
  <si>
    <t xml:space="preserve">Interviewer 2</t>
  </si>
  <si>
    <t xml:space="preserve">Interviewer 3</t>
  </si>
  <si>
    <t xml:space="preserve">Avg Score</t>
  </si>
  <si>
    <t xml:space="preserve">Notes</t>
  </si>
  <si>
    <t xml:space="preserve">Technical depth (algorithms / system design)</t>
  </si>
  <si>
    <t xml:space="preserve">Code quality &amp; testing mindset</t>
  </si>
  <si>
    <t xml:space="preserve">Problem-solving approach</t>
  </si>
  <si>
    <t xml:space="preserve">Communication of technical concepts</t>
  </si>
  <si>
    <t xml:space="preserve">Collaboration &amp; team fit</t>
  </si>
  <si>
    <t xml:space="preserve">Learning agility / adaptability</t>
  </si>
  <si>
    <t xml:space="preserve">Ownership &amp; initiative</t>
  </si>
  <si>
    <t xml:space="preserve">OVERALL AVERAGE</t>
  </si>
  <si>
    <t xml:space="preserve">Role: Sales Representative</t>
  </si>
  <si>
    <t xml:space="preserve">Prospecting &amp; pipeline discipline</t>
  </si>
  <si>
    <t xml:space="preserve">Discovery questioning skills</t>
  </si>
  <si>
    <t xml:space="preserve">Product knowledge &amp; messaging</t>
  </si>
  <si>
    <t xml:space="preserve">Objection handling</t>
  </si>
  <si>
    <t xml:space="preserve">Closing instinct</t>
  </si>
  <si>
    <t xml:space="preserve">CRM / process rigour</t>
  </si>
  <si>
    <t xml:space="preserve">Coachability</t>
  </si>
  <si>
    <t xml:space="preserve">Role: Marketing Manager</t>
  </si>
  <si>
    <t xml:space="preserve">Strategic thinking &amp; positioning</t>
  </si>
  <si>
    <t xml:space="preserve">Data fluency &amp; attribution</t>
  </si>
  <si>
    <t xml:space="preserve">Campaign execution experience</t>
  </si>
  <si>
    <t xml:space="preserve">Cross-functional collaboration</t>
  </si>
  <si>
    <t xml:space="preserve">Creativity &amp; brand instinct</t>
  </si>
  <si>
    <t xml:space="preserve">Budget &amp; ROI management</t>
  </si>
  <si>
    <t xml:space="preserve">Communication &amp; storytelling</t>
  </si>
  <si>
    <t xml:space="preserve">Role: Operations Lead</t>
  </si>
  <si>
    <t xml:space="preserve">Process design &amp; documentation</t>
  </si>
  <si>
    <t xml:space="preserve">Metrics &amp; KPI ownership</t>
  </si>
  <si>
    <t xml:space="preserve">Vendor / stakeholder management</t>
  </si>
  <si>
    <t xml:space="preserve">Execution under ambiguity</t>
  </si>
  <si>
    <t xml:space="preserve">Systems &amp; tools proficiency</t>
  </si>
  <si>
    <t xml:space="preserve">Prioritisation &amp; time management</t>
  </si>
  <si>
    <t xml:space="preserve">Team leadership</t>
  </si>
  <si>
    <t xml:space="preserve">Role: Customer Support</t>
  </si>
  <si>
    <t xml:space="preserve">Empathy &amp; active listening</t>
  </si>
  <si>
    <t xml:space="preserve">Product / service knowledge</t>
  </si>
  <si>
    <t xml:space="preserve">De-escalation &amp; conflict resolution</t>
  </si>
  <si>
    <t xml:space="preserve">Written communication clarity</t>
  </si>
  <si>
    <t xml:space="preserve">Ticket speed &amp; follow-through</t>
  </si>
  <si>
    <t xml:space="preserve">Problem-solving resourcefulness</t>
  </si>
  <si>
    <t xml:space="preserve">Team attitude &amp; reliability</t>
  </si>
  <si>
    <t xml:space="preserve">Role: HR Generalist</t>
  </si>
  <si>
    <t xml:space="preserve">Employment law knowledge</t>
  </si>
  <si>
    <t xml:space="preserve">Recruiting &amp; sourcing ability</t>
  </si>
  <si>
    <t xml:space="preserve">Employee relations judgement</t>
  </si>
  <si>
    <t xml:space="preserve">HRIS &amp; data accuracy</t>
  </si>
  <si>
    <t xml:space="preserve">Policy writing &amp; communication</t>
  </si>
  <si>
    <t xml:space="preserve">Confidentiality &amp; integrity</t>
  </si>
  <si>
    <t xml:space="preserve">Business partnering instinct</t>
  </si>
  <si>
    <t xml:space="preserve">Role: Finance / Accounting</t>
  </si>
  <si>
    <t xml:space="preserve">GAAP / IFRS understanding</t>
  </si>
  <si>
    <t xml:space="preserve">Financial modelling proficiency</t>
  </si>
  <si>
    <t xml:space="preserve">Attention to detail &amp; accuracy</t>
  </si>
  <si>
    <t xml:space="preserve">Variance analysis &amp; insight</t>
  </si>
  <si>
    <t xml:space="preserve">Audit &amp; compliance awareness</t>
  </si>
  <si>
    <t xml:space="preserve">Excel / ERP fluency</t>
  </si>
  <si>
    <t xml:space="preserve">Communication to non-finance stakeholders</t>
  </si>
  <si>
    <t xml:space="preserve">Role: Executive / Director</t>
  </si>
  <si>
    <t xml:space="preserve">Vision &amp; strategic clarity</t>
  </si>
  <si>
    <t xml:space="preserve">Track record of scaling teams</t>
  </si>
  <si>
    <t xml:space="preserve">Change management experience</t>
  </si>
  <si>
    <t xml:space="preserve">Executive stakeholder influence</t>
  </si>
  <si>
    <t xml:space="preserve">P&amp;L ownership</t>
  </si>
  <si>
    <t xml:space="preserve">Cultural leadership</t>
  </si>
  <si>
    <t xml:space="preserve">Decision-making under pressure</t>
  </si>
  <si>
    <t xml:space="preserve">HR HIRING TOOLKIT — Job Description Templates</t>
  </si>
  <si>
    <t xml:space="preserve">Instructions: Replace every [BRACKETED] field with your company's specifics. Delete sections that don't apply.</t>
  </si>
  <si>
    <t xml:space="preserve">Template: Software Engineer (Mid-level)</t>
  </si>
  <si>
    <t xml:space="preserve">About [Company Name]</t>
  </si>
  <si>
    <t xml:space="preserve">[Company Name] is a [industry] company helping [target customers] [achieve outcome]. We're [stage — e.g. Series B, profitable, bootstrapped] and growing fast. Our team is [size] people across [locations].</t>
  </si>
  <si>
    <t xml:space="preserve">The Role</t>
  </si>
  <si>
    <t xml:space="preserve">We're looking for a [Job Title] to [primary mission — 1–2 sentences]. You'll report to the [Manager Title] and work closely with [teams/stakeholders]. This is a [full-time / part-time / contract] [remote / hybrid / on-site] role based in [Location].</t>
  </si>
  <si>
    <t xml:space="preserve">What You'll Do</t>
  </si>
  <si>
    <t xml:space="preserve">• [Primary responsibility — most important first]
• [Responsibility 2]
• [Responsibility 3]
• [Responsibility 4]
• [Responsibility 5]
• [Responsibility 6]</t>
  </si>
  <si>
    <t xml:space="preserve">What We're Looking For</t>
  </si>
  <si>
    <t xml:space="preserve">Required:
• [X] years of experience in [relevant field]
• Proficiency in [key tool or skill]
• [Qualification or credential]
• [Soft skill — e.g. strong written and verbal communication]
Nice to have:
• [Bonus skill or experience]
• [Industry or domain knowledge]</t>
  </si>
  <si>
    <t xml:space="preserve">Compensation &amp; Benefits</t>
  </si>
  <si>
    <t xml:space="preserve">• Salary: $[min]–$[max] depending on experience
• [Equity / bonus structure if applicable]
• [Health / dental / vision]
• [PTO policy — e.g. unlimited PTO]
• [Other perks — 401k match, home office budget, learning stipend]</t>
  </si>
  <si>
    <t xml:space="preserve">How to Apply</t>
  </si>
  <si>
    <t xml:space="preserve">Submit your application at [link] or email [recruiting@company.com] with the subject line '[Job Title] Application'. We review every application and will respond within [X] business days.</t>
  </si>
  <si>
    <t xml:space="preserve">Template: Sales Development Representative (SDR)</t>
  </si>
  <si>
    <t xml:space="preserve">Template: Marketing Manager</t>
  </si>
  <si>
    <t xml:space="preserve">Template: Customer Success Manager</t>
  </si>
  <si>
    <t xml:space="preserve">Template: Operations Coordinator</t>
  </si>
  <si>
    <t xml:space="preserve">Template: HR Generalist</t>
  </si>
  <si>
    <t xml:space="preserve">Template: Financial Analyst</t>
  </si>
  <si>
    <t xml:space="preserve">Template: Product Manager</t>
  </si>
  <si>
    <t xml:space="preserve">Template: Executive Assistant</t>
  </si>
  <si>
    <t xml:space="preserve">Template: Director of [Department]</t>
  </si>
  <si>
    <t xml:space="preserve">HR HIRING TOOLKIT — Candidate Email Scripts</t>
  </si>
  <si>
    <t xml:space="preserve">Instructions: Replace [BRACKETED] fields. Personalise where possible — candidates notice generic emails.</t>
  </si>
  <si>
    <t xml:space="preserve">1. Application Received (Auto-reply)</t>
  </si>
  <si>
    <t xml:space="preserve">Subject</t>
  </si>
  <si>
    <t xml:space="preserve">We got your application — [Job Title] at [Company]</t>
  </si>
  <si>
    <t xml:space="preserve">Body</t>
  </si>
  <si>
    <t xml:space="preserve">Hi [First Name],
Thank you for applying to the [Job Title] role at [Company]. We've received your application and our team is reviewing it.
We aim to respond to all applicants within [X] business days. If you have questions in the meantime, feel free to reply to this email.
Thanks again for your interest,
[Recruiter Name]
[Company] Recruiting Team</t>
  </si>
  <si>
    <t xml:space="preserve">2. Phone Screen Invite</t>
  </si>
  <si>
    <t xml:space="preserve">Next step — quick call about the [Job Title] role</t>
  </si>
  <si>
    <t xml:space="preserve">Hi [First Name],
Thanks for applying to [Job Title] at [Company]. Your background looks relevant and I'd love to connect for a 20-minute call to learn more about your experience and tell you about the role.
Are any of these times convenient?
• [Day, Date — Time + Timezone]
• [Day, Date — Time + Timezone]
• [Day, Date — Time + Timezone]
Or feel free to grab time directly: [Calendly/scheduling link]
Looking forward to talking,
[Recruiter Name]</t>
  </si>
  <si>
    <t xml:space="preserve">3. Interview Invite (Panel / On-site)</t>
  </si>
  <si>
    <t xml:space="preserve">Interview invitation — [Job Title] at [Company]</t>
  </si>
  <si>
    <t xml:space="preserve">Hi [First Name],
Great news — we'd like to invite you to interview for the [Job Title] role. Here are the details:
Date: [Day, Date]
Time: [Start time – End time, Timezone]
Format: [Video call (Zoom link: [URL]) / On-site at [Address]]
You'll be meeting with:
• [Name, Title] — [Topic they'll cover]
• [Name, Title] — [Topic they'll cover]
• [Name, Title] — [Topic they'll cover]
Please come prepared to [walk through a work sample / discuss a specific project / complete a take-home exercise: details attached].
Let me know if you need to reschedule or have any questions.
[Recruiter Name]</t>
  </si>
  <si>
    <t xml:space="preserve">4. Post-Interview Thank You (to candidate)</t>
  </si>
  <si>
    <t xml:space="preserve">Thank you for interviewing — [Job Title]</t>
  </si>
  <si>
    <t xml:space="preserve">Hi [First Name],
Thank you for taking the time to interview for the [Job Title] role today. It was great learning about [specific thing mentioned in interview — personalise this].
Our team will be reviewing all candidates and we aim to be in touch by [specific date]. If anything changes on your end in the meantime, please let us know.
Thanks again,
[Recruiter Name]</t>
  </si>
  <si>
    <t xml:space="preserve">5. Rejection — Early Stage (pre-interview)</t>
  </si>
  <si>
    <t xml:space="preserve">Your application to [Company] — [Job Title]</t>
  </si>
  <si>
    <t xml:space="preserve">Hi [First Name],
Thank you for your interest in the [Job Title] role at [Company].
After reviewing your application, we've decided to move forward with other candidates whose experience more closely matches what we're looking for at this stage.
We appreciate you taking the time to apply and encourage you to keep an eye on future openings at [careers page URL].
Best,
[Recruiter Name]</t>
  </si>
  <si>
    <t xml:space="preserve">6. Rejection — Post-Interview</t>
  </si>
  <si>
    <t xml:space="preserve">Your interview for [Job Title] at [Company]</t>
  </si>
  <si>
    <t xml:space="preserve">Hi [First Name],
Thank you so much for the time you invested in our interview process for the [Job Title] role. We genuinely enjoyed learning about your background.
After careful consideration, we've decided to move forward with a candidate whose experience is a closer fit for this specific role at this time. This was not an easy decision.
We'll keep your information on file and reach out if a more suitable opportunity opens up. I'd also encourage you to apply again in the future.
Wishing you all the best,
[Recruiter Name]</t>
  </si>
  <si>
    <t xml:space="preserve">7. Reference Check Request</t>
  </si>
  <si>
    <t xml:space="preserve">Reference check for [Candidate Name] — [Job Title] at [Company]</t>
  </si>
  <si>
    <t xml:space="preserve">Hi [Reference Name],
[Candidate Name] is a finalist for a [Job Title] position at [Company] and has listed you as a reference. I'd love to ask you a few questions about their work — this should take about 15 minutes.
Are any of these times convenient?
• [Option 1]
• [Option 2]
• [Option 3]
Alternatively, I can send a short written questionnaire if that's easier. Just let me know.
Thank you,
[Recruiter Name]</t>
  </si>
  <si>
    <t xml:space="preserve">8. Verbal Offer</t>
  </si>
  <si>
    <t xml:space="preserve">Offer — [Job Title] at [Company] 🎉</t>
  </si>
  <si>
    <t xml:space="preserve">Hi [First Name],
I'm thrilled to let you know that we'd like to extend you an offer for the [Job Title] role at [Company]!
Here's a quick summary:
• Title: [Job Title]
• Start date: [Proposed Date]
• Salary: $[Amount] per year
• [Equity: [Details]]
• Benefits: [Brief summary — full details in formal offer letter]
• Reporting to: [Manager Name, Title]
I'll send the formal offer letter shortly. Please don't hesitate to call me at [phone] if you have any questions. We're really excited about the prospect of you joining the team.
[Recruiter Name]</t>
  </si>
  <si>
    <t xml:space="preserve">9. Offer Letter Follow-up</t>
  </si>
  <si>
    <t xml:space="preserve">Checking in — offer for [Job Title]</t>
  </si>
  <si>
    <t xml:space="preserve">Hi [First Name],
I wanted to follow up on the offer letter we sent on [date]. I know this is an important decision and want to make sure you have everything you need.
Please feel free to reach out with any questions about the role, the team, compensation, or anything else. I'm also happy to set up a call with [Hiring Manager Name] if that would help.
We'd love to have your decision by [date], though let me know if you need a bit more time.
Looking forward to hearing from you,
[Recruiter Name]</t>
  </si>
  <si>
    <t xml:space="preserve">10. Offer Acceptance Confirmation</t>
  </si>
  <si>
    <t xml:space="preserve">Welcome to [Company], [First Name]! 🎉</t>
  </si>
  <si>
    <t xml:space="preserve">Hi [First Name],
Welcome aboard! We're so excited to have you joining the team.
Here's what happens next:
1. [HR / IT] will reach out by [date] to complete your new hire paperwork and set up your equipment
2. Your manager [Name] will be in touch to schedule your first week
3. Please review and complete the attached onboarding forms before your start date: [link]
Your first day is [Date]. Report to [location / join this Zoom link] at [time].
In the meantime, feel free to connect with me or [HR contact] with any questions.
See you soon,
[Recruiter Name]</t>
  </si>
  <si>
    <t xml:space="preserve">HR HIRING TOOLKIT — End-to-End Hiring Checklist (42 Steps)</t>
  </si>
  <si>
    <t xml:space="preserve">Check off each step as completed. Assign an owner and target date for accountability.</t>
  </si>
  <si>
    <t xml:space="preserve">✓</t>
  </si>
  <si>
    <t xml:space="preserve">Stage</t>
  </si>
  <si>
    <t xml:space="preserve">Action Item</t>
  </si>
  <si>
    <t xml:space="preserve">Owner</t>
  </si>
  <si>
    <t xml:space="preserve">Target Date</t>
  </si>
  <si>
    <t xml:space="preserve">DEFINE THE ROLE</t>
  </si>
  <si>
    <t xml:space="preserve">1.</t>
  </si>
  <si>
    <t xml:space="preserve">☐ </t>
  </si>
  <si>
    <t xml:space="preserve">Confirm budget approval for the headcount</t>
  </si>
  <si>
    <t xml:space="preserve">Hiring Manager + Finance</t>
  </si>
  <si>
    <t xml:space="preserve">2.</t>
  </si>
  <si>
    <t xml:space="preserve">Write or update the job description</t>
  </si>
  <si>
    <t xml:space="preserve">Recruiter + Hiring Manager</t>
  </si>
  <si>
    <t xml:space="preserve">3.</t>
  </si>
  <si>
    <t xml:space="preserve">Define must-have vs nice-to-have criteria</t>
  </si>
  <si>
    <t xml:space="preserve">Hiring Manager</t>
  </si>
  <si>
    <t xml:space="preserve">4.</t>
  </si>
  <si>
    <t xml:space="preserve">Set compensation range (benchmark against market data)</t>
  </si>
  <si>
    <t xml:space="preserve">HR + Finance</t>
  </si>
  <si>
    <t xml:space="preserve">5.</t>
  </si>
  <si>
    <t xml:space="preserve">Agree on target start date and urgency level</t>
  </si>
  <si>
    <t xml:space="preserve">6.</t>
  </si>
  <si>
    <t xml:space="preserve">Get sign-off on JD from HR and Legal if needed</t>
  </si>
  <si>
    <t xml:space="preserve">HR</t>
  </si>
  <si>
    <t xml:space="preserve">SOURCE CANDIDATES</t>
  </si>
  <si>
    <t xml:space="preserve">7.</t>
  </si>
  <si>
    <t xml:space="preserve">Post role on internal job board / Slack / email</t>
  </si>
  <si>
    <t xml:space="preserve">Recruiter</t>
  </si>
  <si>
    <t xml:space="preserve">8.</t>
  </si>
  <si>
    <t xml:space="preserve">Post on LinkedIn, Indeed, and relevant niche boards</t>
  </si>
  <si>
    <t xml:space="preserve">9.</t>
  </si>
  <si>
    <t xml:space="preserve">Send role to relevant employee referral contacts</t>
  </si>
  <si>
    <t xml:space="preserve">Recruiter + Team</t>
  </si>
  <si>
    <t xml:space="preserve">10.</t>
  </si>
  <si>
    <t xml:space="preserve">Brief any external recruiting agency / RPO partner</t>
  </si>
  <si>
    <t xml:space="preserve">11.</t>
  </si>
  <si>
    <t xml:space="preserve">Source passive candidates via LinkedIn Recruiter / outreach</t>
  </si>
  <si>
    <t xml:space="preserve">12.</t>
  </si>
  <si>
    <t xml:space="preserve">Set up resume review cadence (e.g. weekly batch review)</t>
  </si>
  <si>
    <t xml:space="preserve">SCREEN APPLICATIONS</t>
  </si>
  <si>
    <t xml:space="preserve">13.</t>
  </si>
  <si>
    <t xml:space="preserve">Review all incoming resumes against defined criteria</t>
  </si>
  <si>
    <t xml:space="preserve">14.</t>
  </si>
  <si>
    <t xml:space="preserve">Send rejection emails to clearly unqualified applicants</t>
  </si>
  <si>
    <t xml:space="preserve">15.</t>
  </si>
  <si>
    <t xml:space="preserve">Schedule recruiter phone screens for shortlisted candidates</t>
  </si>
  <si>
    <t xml:space="preserve">16.</t>
  </si>
  <si>
    <t xml:space="preserve">Conduct phone screens (20 min each)</t>
  </si>
  <si>
    <t xml:space="preserve">17.</t>
  </si>
  <si>
    <t xml:space="preserve">Share phone screen notes with hiring manager</t>
  </si>
  <si>
    <t xml:space="preserve">18.</t>
  </si>
  <si>
    <t xml:space="preserve">Decide on who advances to hiring manager interview</t>
  </si>
  <si>
    <t xml:space="preserve">Recruiter + HM</t>
  </si>
  <si>
    <t xml:space="preserve">19.</t>
  </si>
  <si>
    <t xml:space="preserve">Send rejections to candidates who did not advance</t>
  </si>
  <si>
    <t xml:space="preserve">INTERVIEW PROCESS</t>
  </si>
  <si>
    <t xml:space="preserve">20.</t>
  </si>
  <si>
    <t xml:space="preserve">Schedule hiring manager interviews</t>
  </si>
  <si>
    <t xml:space="preserve">21.</t>
  </si>
  <si>
    <t xml:space="preserve">Brief all interviewers with scorecards and guidance</t>
  </si>
  <si>
    <t xml:space="preserve">22.</t>
  </si>
  <si>
    <t xml:space="preserve">Conduct hiring manager interviews</t>
  </si>
  <si>
    <t xml:space="preserve">23.</t>
  </si>
  <si>
    <t xml:space="preserve">Schedule panel / technical interviews for finalists</t>
  </si>
  <si>
    <t xml:space="preserve">24.</t>
  </si>
  <si>
    <t xml:space="preserve">Conduct panel interviews — collect scorecards within 24 hrs</t>
  </si>
  <si>
    <t xml:space="preserve">Interview Panel</t>
  </si>
  <si>
    <t xml:space="preserve">25.</t>
  </si>
  <si>
    <t xml:space="preserve">Facilitate debrief meeting with all interviewers</t>
  </si>
  <si>
    <t xml:space="preserve">26.</t>
  </si>
  <si>
    <t xml:space="preserve">If applicable: send take-home assignment / case study</t>
  </si>
  <si>
    <t xml:space="preserve">27.</t>
  </si>
  <si>
    <t xml:space="preserve">Review take-home / case study results as a team</t>
  </si>
  <si>
    <t xml:space="preserve">Hiring Manager + Panel</t>
  </si>
  <si>
    <t xml:space="preserve">28.</t>
  </si>
  <si>
    <t xml:space="preserve">Identify top 1–2 finalists to move to offer stage</t>
  </si>
  <si>
    <t xml:space="preserve">29.</t>
  </si>
  <si>
    <t xml:space="preserve">REFERENCES &amp; BACKGROUND</t>
  </si>
  <si>
    <t xml:space="preserve">30.</t>
  </si>
  <si>
    <t xml:space="preserve">Request 2–3 professional references from top candidate(s)</t>
  </si>
  <si>
    <t xml:space="preserve">31.</t>
  </si>
  <si>
    <t xml:space="preserve">Complete reference checks using standard questionnaire</t>
  </si>
  <si>
    <t xml:space="preserve">Recruiter or HM</t>
  </si>
  <si>
    <t xml:space="preserve">32.</t>
  </si>
  <si>
    <t xml:space="preserve">Initiate background check (if required for role)</t>
  </si>
  <si>
    <t xml:space="preserve">33.</t>
  </si>
  <si>
    <t xml:space="preserve">Review background check results — escalate any flags to HR/Legal</t>
  </si>
  <si>
    <t xml:space="preserve">34.</t>
  </si>
  <si>
    <t xml:space="preserve">Get final hiring approval from hiring manager + leadership</t>
  </si>
  <si>
    <t xml:space="preserve">EXTEND OFFER</t>
  </si>
  <si>
    <t xml:space="preserve">35.</t>
  </si>
  <si>
    <t xml:space="preserve">Prepare offer letter using approved template</t>
  </si>
  <si>
    <t xml:space="preserve">36.</t>
  </si>
  <si>
    <t xml:space="preserve">Call candidate with verbal offer before sending written offer</t>
  </si>
  <si>
    <t xml:space="preserve">37.</t>
  </si>
  <si>
    <t xml:space="preserve">Send formal offer letter via DocuSign / email</t>
  </si>
  <si>
    <t xml:space="preserve">38.</t>
  </si>
  <si>
    <t xml:space="preserve">Follow up within 48 hrs if no response received</t>
  </si>
  <si>
    <t xml:space="preserve">39.</t>
  </si>
  <si>
    <t xml:space="preserve">Negotiate if candidate counters — involve HM and Finance as needed</t>
  </si>
  <si>
    <t xml:space="preserve">40.</t>
  </si>
  <si>
    <t xml:space="preserve">Confirm offer acceptance in writing</t>
  </si>
  <si>
    <t xml:space="preserve">41.</t>
  </si>
  <si>
    <t xml:space="preserve">Send regrets to all remaining candidates</t>
  </si>
  <si>
    <t xml:space="preserve">ONBOARDING PREP</t>
  </si>
  <si>
    <t xml:space="preserve">42.</t>
  </si>
  <si>
    <t xml:space="preserve">Confirm start date with candidate and hiring manager</t>
  </si>
  <si>
    <t xml:space="preserve">43.</t>
  </si>
  <si>
    <t xml:space="preserve">Notify IT to set up equipment, accounts, and access</t>
  </si>
  <si>
    <t xml:space="preserve">HR or Ops</t>
  </si>
  <si>
    <t xml:space="preserve">44.</t>
  </si>
  <si>
    <t xml:space="preserve">Schedule day-one orientation and first-week agenda</t>
  </si>
  <si>
    <t xml:space="preserve">HM + HR</t>
  </si>
  <si>
    <t xml:space="preserve">45.</t>
  </si>
  <si>
    <t xml:space="preserve">Send new hire welcome email with first-day logistics</t>
  </si>
  <si>
    <t xml:space="preserve">46.</t>
  </si>
  <si>
    <t xml:space="preserve">Brief the team on the new hire's role and start date</t>
  </si>
  <si>
    <t xml:space="preserve">47.</t>
  </si>
  <si>
    <t xml:space="preserve">Prepare 30-60-90 day onboarding plan (see Sheet 6)</t>
  </si>
  <si>
    <t xml:space="preserve">HR HIRING TOOLKIT — Cost-Per-Hire Calculator</t>
  </si>
  <si>
    <t xml:space="preserve">Enter values in YELLOW cells. All other cells calculate automatically.  |  Blue = input  |  Black = formula</t>
  </si>
  <si>
    <t xml:space="preserve">Cost Category</t>
  </si>
  <si>
    <t xml:space="preserve">Role 1</t>
  </si>
  <si>
    <t xml:space="preserve">Role 2</t>
  </si>
  <si>
    <t xml:space="preserve">Role 3</t>
  </si>
  <si>
    <t xml:space="preserve">ROLE SETUP</t>
  </si>
  <si>
    <t xml:space="preserve">Role 3 Name</t>
  </si>
  <si>
    <t xml:space="preserve">Software Engineer</t>
  </si>
  <si>
    <t xml:space="preserve">Sales Rep</t>
  </si>
  <si>
    <t xml:space="preserve">Marketing Manager</t>
  </si>
  <si>
    <t xml:space="preserve">EXTERNAL COSTS</t>
  </si>
  <si>
    <t xml:space="preserve">Job board posting fees (LinkedIn, Indeed, etc.)</t>
  </si>
  <si>
    <t xml:space="preserve">Total across all boards</t>
  </si>
  <si>
    <t xml:space="preserve">Recruiting agency / RPO fee (if used)</t>
  </si>
  <si>
    <t xml:space="preserve">Typically 15–25% of first-year salary</t>
  </si>
  <si>
    <t xml:space="preserve">Background check fee</t>
  </si>
  <si>
    <t xml:space="preserve">Per candidate checked</t>
  </si>
  <si>
    <t xml:space="preserve">Assessments / skills testing tools</t>
  </si>
  <si>
    <t xml:space="preserve">e.g. Codility, HackerRank, TestGorilla</t>
  </si>
  <si>
    <t xml:space="preserve">Travel / candidate expense reimbursement</t>
  </si>
  <si>
    <t xml:space="preserve">Flights, hotel for on-site interviews</t>
  </si>
  <si>
    <t xml:space="preserve">INTERNAL TIME COSTS</t>
  </si>
  <si>
    <t xml:space="preserve">Annual salary of recruiter ($)</t>
  </si>
  <si>
    <t xml:space="preserve">Fully loaded cost</t>
  </si>
  <si>
    <t xml:space="preserve">Recruiter hours spent on this hire</t>
  </si>
  <si>
    <t xml:space="preserve">Sourcing + screening + admin</t>
  </si>
  <si>
    <t xml:space="preserve">Recruiter time cost</t>
  </si>
  <si>
    <t xml:space="preserve">hourly rate x hours</t>
  </si>
  <si>
    <t xml:space="preserve">Hiring manager hours (interviews + debrief)</t>
  </si>
  <si>
    <t xml:space="preserve">All interviewers combined</t>
  </si>
  <si>
    <t xml:space="preserve">Avg annual salary of interviewers ($)</t>
  </si>
  <si>
    <t xml:space="preserve">Used to calculate interview time cost</t>
  </si>
  <si>
    <t xml:space="preserve">Interview time cost</t>
  </si>
  <si>
    <t xml:space="preserve">ONBOARDING &amp; RAMP COSTS</t>
  </si>
  <si>
    <t xml:space="preserve">Onboarding / training cost ($)</t>
  </si>
  <si>
    <t xml:space="preserve">Tools, courses, onboarding time</t>
  </si>
  <si>
    <t xml:space="preserve">Productivity ramp time (months)</t>
  </si>
  <si>
    <t xml:space="preserve">Months until full productivity</t>
  </si>
  <si>
    <t xml:space="preserve">New hire annual salary ($)</t>
  </si>
  <si>
    <t xml:space="preserve">Used to estimate ramp-period cost</t>
  </si>
  <si>
    <t xml:space="preserve">Ramp cost (50% productivity assumed)</t>
  </si>
  <si>
    <t xml:space="preserve">salary x ramp months x 50%</t>
  </si>
  <si>
    <t xml:space="preserve">TOTAL COST-PER-HIRE</t>
  </si>
  <si>
    <t xml:space="preserve">As % of first-year salary</t>
  </si>
  <si>
    <t xml:space="preserve">Benchmark: typically 15–30% of salary</t>
  </si>
  <si>
    <t xml:space="preserve">HR HIRING TOOLKIT — 30-60-90 Day Onboarding Plan</t>
  </si>
  <si>
    <t xml:space="preserve">Customise milestones for each new hire. Share with the hiring manager before day one.</t>
  </si>
  <si>
    <t xml:space="preserve">#</t>
  </si>
  <si>
    <t xml:space="preserve">Milestone / Goal</t>
  </si>
  <si>
    <t xml:space="preserve">Details / Success Criteria</t>
  </si>
  <si>
    <t xml:space="preserve">Status</t>
  </si>
  <si>
    <t xml:space="preserve">DAYS 1–30: LEARN — Orient, observe, and absorb</t>
  </si>
  <si>
    <t xml:space="preserve">Meet every team member and key cross-functional partner</t>
  </si>
  <si>
    <t xml:space="preserve">Schedule 1:1 intros — listen more than talk. Take notes on each person's role and priorities.</t>
  </si>
  <si>
    <t xml:space="preserve">Manager + New Hire</t>
  </si>
  <si>
    <t xml:space="preserve">Not started</t>
  </si>
  <si>
    <t xml:space="preserve">Complete all HR / IT / compliance onboarding</t>
  </si>
  <si>
    <t xml:space="preserve">Benefits enrolment, payroll setup, security training, tool access confirmed.</t>
  </si>
  <si>
    <t xml:space="preserve">HR + IT</t>
  </si>
  <si>
    <t xml:space="preserve">Read and understand the company mission, values, and strategy</t>
  </si>
  <si>
    <t xml:space="preserve">Review last 3 all-hands decks, company wiki, and OKRs.</t>
  </si>
  <si>
    <t xml:space="preserve">New Hire</t>
  </si>
  <si>
    <t xml:space="preserve">Shadow at least 3 team meetings or customer calls</t>
  </si>
  <si>
    <t xml:space="preserve">Observe how decisions are made and how the team communicates.</t>
  </si>
  <si>
    <t xml:space="preserve">New Hire + Manager</t>
  </si>
  <si>
    <t xml:space="preserve">Understand the current product / service end-to-end</t>
  </si>
  <si>
    <t xml:space="preserve">Complete any product training, demo environment, or certification.</t>
  </si>
  <si>
    <t xml:space="preserve">Learn the team's key tools and workflows</t>
  </si>
  <si>
    <t xml:space="preserve">Confirm access to: [CRM / project mgmt / communication / data tools].</t>
  </si>
  <si>
    <t xml:space="preserve">IT + Manager</t>
  </si>
  <si>
    <t xml:space="preserve">Set 30-day goals with manager</t>
  </si>
  <si>
    <t xml:space="preserve">Write down 2–3 measurable goals for the first month. Get manager sign-off.</t>
  </si>
  <si>
    <t xml:space="preserve">30-day check-in meeting with manager</t>
  </si>
  <si>
    <t xml:space="preserve">Review progress on goals, surface any blockers or concerns. Adjust plan if needed.</t>
  </si>
  <si>
    <t xml:space="preserve">Manager</t>
  </si>
  <si>
    <t xml:space="preserve">DAYS 31–60: CONTRIBUTE — Start adding visible value</t>
  </si>
  <si>
    <t xml:space="preserve">Own at least one project or workstream end-to-end</t>
  </si>
  <si>
    <t xml:space="preserve">Take full accountability — define scope, drive execution, communicate status.</t>
  </si>
  <si>
    <t xml:space="preserve">Build relationships with 3–5 key stakeholders outside the team</t>
  </si>
  <si>
    <t xml:space="preserve">Identify who you'll depend on and who depends on you.</t>
  </si>
  <si>
    <t xml:space="preserve">Identify one process or workflow that could be improved</t>
  </si>
  <si>
    <t xml:space="preserve">Document the current state, the gap, and a proposed improvement.</t>
  </si>
  <si>
    <t xml:space="preserve">Deliver first substantive output (report, campaign, feature, deal)</t>
  </si>
  <si>
    <t xml:space="preserve">Concrete, measurable work product reviewed and approved by manager.</t>
  </si>
  <si>
    <t xml:space="preserve">Seek feedback from 2–3 peers and incorporate it</t>
  </si>
  <si>
    <t xml:space="preserve">Ask explicitly: 'What's one thing I could do differently to be more effective here?'</t>
  </si>
  <si>
    <t xml:space="preserve">60-day check-in meeting with manager</t>
  </si>
  <si>
    <t xml:space="preserve">Review goal progress, adjust 90-day plan, discuss any performance concerns early.</t>
  </si>
  <si>
    <t xml:space="preserve">DAYS 61–90: LEAD — Operate independently and create impact</t>
  </si>
  <si>
    <t xml:space="preserve">Propose a meaningful improvement or initiative</t>
  </si>
  <si>
    <t xml:space="preserve">Present a concrete idea with rationale, plan, and expected impact. Get buy-in.</t>
  </si>
  <si>
    <t xml:space="preserve">Operate independently on core responsibilities</t>
  </si>
  <si>
    <t xml:space="preserve">No longer requires daily check-ins on routine work. Escalates appropriately.</t>
  </si>
  <si>
    <t xml:space="preserve">Build a trusted relationship with manager</t>
  </si>
  <si>
    <t xml:space="preserve">Comfortable raising concerns, disagreements, and ideas proactively.</t>
  </si>
  <si>
    <t xml:space="preserve">Document tribal knowledge learned in first 90 days</t>
  </si>
  <si>
    <t xml:space="preserve">Write up at least one process, FAQ, or how-to guide that didn't exist before.</t>
  </si>
  <si>
    <t xml:space="preserve">Achieve the key results set in 30-day plan</t>
  </si>
  <si>
    <t xml:space="preserve">Specific, measurable outcomes — agreed at day 30, reviewed now.</t>
  </si>
  <si>
    <t xml:space="preserve">Establish a recurring 1:1 rhythm with manager</t>
  </si>
  <si>
    <t xml:space="preserve">Weekly or bi-weekly 1:1 scheduled, agenda format agreed, cadence sustainable.</t>
  </si>
  <si>
    <t xml:space="preserve">90-day formal review</t>
  </si>
  <si>
    <t xml:space="preserve">Structured performance conversation: strengths, development areas, and 6-month goals.</t>
  </si>
  <si>
    <t xml:space="preserve">Manager + HR</t>
  </si>
</sst>
</file>

<file path=xl/styles.xml><?xml version="1.0" encoding="utf-8"?>
<styleSheet xmlns="http://schemas.openxmlformats.org/spreadsheetml/2006/main">
  <numFmts count="3">
    <numFmt numFmtId="164" formatCode="General"/>
    <numFmt numFmtId="165" formatCode="\$#,##0"/>
    <numFmt numFmtId="166" formatCode="0.0%"/>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55555"/>
      <name val="Arial"/>
      <family val="0"/>
      <charset val="1"/>
    </font>
    <font>
      <b val="true"/>
      <sz val="13"/>
      <color rgb="FFFFFFFF"/>
      <name val="Arial"/>
      <family val="0"/>
      <charset val="1"/>
    </font>
    <font>
      <b val="true"/>
      <sz val="11"/>
      <color rgb="FF2D2D2D"/>
      <name val="Arial"/>
      <family val="0"/>
      <charset val="1"/>
    </font>
    <font>
      <sz val="10"/>
      <color rgb="FF2D2D2D"/>
      <name val="Arial"/>
      <family val="0"/>
      <charset val="1"/>
    </font>
    <font>
      <sz val="10"/>
      <color rgb="FF0000FF"/>
      <name val="Arial"/>
      <family val="0"/>
      <charset val="1"/>
    </font>
    <font>
      <sz val="10"/>
      <color rgb="FF000000"/>
      <name val="Arial"/>
      <family val="0"/>
      <charset val="1"/>
    </font>
    <font>
      <b val="true"/>
      <sz val="10"/>
      <color rgb="FF2D2D2D"/>
      <name val="Arial"/>
      <family val="0"/>
      <charset val="1"/>
    </font>
    <font>
      <b val="true"/>
      <sz val="10"/>
      <color rgb="FF000000"/>
      <name val="Arial"/>
      <family val="0"/>
      <charset val="1"/>
    </font>
    <font>
      <b val="true"/>
      <sz val="9"/>
      <color rgb="FF888888"/>
      <name val="Arial"/>
      <family val="0"/>
      <charset val="1"/>
    </font>
    <font>
      <sz val="10"/>
      <color rgb="FF444444"/>
      <name val="Arial"/>
      <family val="0"/>
      <charset val="1"/>
    </font>
    <font>
      <b val="true"/>
      <sz val="10"/>
      <color rgb="FF0000FF"/>
      <name val="Arial"/>
      <family val="0"/>
      <charset val="1"/>
    </font>
    <font>
      <sz val="10"/>
      <color rgb="FF666666"/>
      <name val="Arial"/>
      <family val="0"/>
      <charset val="1"/>
    </font>
    <font>
      <b val="true"/>
      <sz val="11"/>
      <color rgb="FFFFFFFF"/>
      <name val="Arial"/>
      <family val="0"/>
      <charset val="1"/>
    </font>
    <font>
      <sz val="10"/>
      <color rgb="FF555555"/>
      <name val="Arial"/>
      <family val="0"/>
      <charset val="1"/>
    </font>
    <font>
      <b val="true"/>
      <sz val="12"/>
      <color rgb="FFFFFFFF"/>
      <name val="Arial"/>
      <family val="0"/>
      <charset val="1"/>
    </font>
  </fonts>
  <fills count="10">
    <fill>
      <patternFill patternType="none"/>
    </fill>
    <fill>
      <patternFill patternType="gray125"/>
    </fill>
    <fill>
      <patternFill patternType="solid">
        <fgColor rgb="FF1A7A4A"/>
        <bgColor rgb="FF2D6A3A"/>
      </patternFill>
    </fill>
    <fill>
      <patternFill patternType="solid">
        <fgColor rgb="FFE8F5EE"/>
        <bgColor rgb="FFF5F5F5"/>
      </patternFill>
    </fill>
    <fill>
      <patternFill patternType="solid">
        <fgColor rgb="FFD0E8DA"/>
        <bgColor rgb="FFE8F5EE"/>
      </patternFill>
    </fill>
    <fill>
      <patternFill patternType="solid">
        <fgColor rgb="FFFFF9C4"/>
        <bgColor rgb="FFFFFF99"/>
      </patternFill>
    </fill>
    <fill>
      <patternFill patternType="solid">
        <fgColor rgb="FFF5F5F5"/>
        <bgColor rgb="FFE8F5EE"/>
      </patternFill>
    </fill>
    <fill>
      <patternFill patternType="solid">
        <fgColor rgb="FFFFFFFF"/>
        <bgColor rgb="FFF5F5F5"/>
      </patternFill>
    </fill>
    <fill>
      <patternFill patternType="solid">
        <fgColor rgb="FF2D6A3A"/>
        <bgColor rgb="FF1A5C30"/>
      </patternFill>
    </fill>
    <fill>
      <patternFill patternType="solid">
        <fgColor rgb="FF1A5C30"/>
        <bgColor rgb="FF2D6A3A"/>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right"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true" indent="0" shrinkToFit="false"/>
      <protection locked="true" hidden="false"/>
    </xf>
    <xf numFmtId="165" fontId="10" fillId="6" borderId="1" xfId="0" applyFont="true" applyBorder="true" applyAlignment="true" applyProtection="false">
      <alignment horizontal="right"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false" indent="0" shrinkToFit="false"/>
      <protection locked="true" hidden="false"/>
    </xf>
    <xf numFmtId="164" fontId="17" fillId="2" borderId="1" xfId="0" applyFont="true" applyBorder="true" applyAlignment="true" applyProtection="false">
      <alignment horizontal="left" vertical="center" textRotation="0" wrapText="true" indent="0" shrinkToFit="false"/>
      <protection locked="true" hidden="false"/>
    </xf>
    <xf numFmtId="165" fontId="17" fillId="2" borderId="1" xfId="0" applyFont="true" applyBorder="true" applyAlignment="true" applyProtection="false">
      <alignment horizontal="right" vertical="center"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4" fontId="18" fillId="4" borderId="1" xfId="0" applyFont="true" applyBorder="true" applyAlignment="true" applyProtection="false">
      <alignment horizontal="left" vertical="center"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8" fillId="7" borderId="1" xfId="0" applyFont="true" applyBorder="true" applyAlignment="true" applyProtection="false">
      <alignment horizontal="left" vertical="center" textRotation="0" wrapText="true" indent="0" shrinkToFit="false"/>
      <protection locked="true" hidden="false"/>
    </xf>
    <xf numFmtId="164" fontId="19" fillId="8" borderId="0" xfId="0" applyFont="true" applyBorder="true" applyAlignment="true" applyProtection="false">
      <alignment horizontal="left" vertical="center" textRotation="0" wrapText="false" indent="0" shrinkToFit="false"/>
      <protection locked="true" hidden="false"/>
    </xf>
    <xf numFmtId="164" fontId="19" fillId="9"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5C30"/>
      <rgbColor rgb="FF000080"/>
      <rgbColor rgb="FF808000"/>
      <rgbColor rgb="FF800080"/>
      <rgbColor rgb="FF1A7A4A"/>
      <rgbColor rgb="FFCCCCCC"/>
      <rgbColor rgb="FF888888"/>
      <rgbColor rgb="FF9999FF"/>
      <rgbColor rgb="FF993366"/>
      <rgbColor rgb="FFFFF9C4"/>
      <rgbColor rgb="FFE8F5EE"/>
      <rgbColor rgb="FF660066"/>
      <rgbColor rgb="FFFF8080"/>
      <rgbColor rgb="FF0066CC"/>
      <rgbColor rgb="FFCCCCFF"/>
      <rgbColor rgb="FF000080"/>
      <rgbColor rgb="FFFF00FF"/>
      <rgbColor rgb="FFFFFF00"/>
      <rgbColor rgb="FF00FFFF"/>
      <rgbColor rgb="FF800080"/>
      <rgbColor rgb="FF800000"/>
      <rgbColor rgb="FF2D6A3A"/>
      <rgbColor rgb="FF0000FF"/>
      <rgbColor rgb="FF00CCFF"/>
      <rgbColor rgb="FFF5F5F5"/>
      <rgbColor rgb="FFD0E8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444444"/>
      <rgbColor rgb="FF993300"/>
      <rgbColor rgb="FF993366"/>
      <rgbColor rgb="FF555555"/>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5" min="2" style="1" width="14"/>
    <col collapsed="false" customWidth="true" hidden="false" outlineLevel="0" max="6" min="6" style="1" width="40"/>
  </cols>
  <sheetData>
    <row r="1" customFormat="false" ht="13.5" hidden="false" customHeight="true" outlineLevel="0" collapsed="false">
      <c r="A1" s="2" t="s">
        <v>0</v>
      </c>
      <c r="B1" s="2"/>
      <c r="C1" s="2"/>
      <c r="D1" s="2"/>
      <c r="E1" s="2"/>
      <c r="F1" s="2"/>
    </row>
    <row r="2" customFormat="false" ht="36" hidden="false" customHeight="true" outlineLevel="0" collapsed="false">
      <c r="A2" s="3" t="s">
        <v>1</v>
      </c>
      <c r="B2" s="3"/>
      <c r="C2" s="3"/>
      <c r="D2" s="3"/>
      <c r="E2" s="3"/>
      <c r="F2" s="3"/>
    </row>
    <row r="3" customFormat="false" ht="27.75" hidden="false" customHeight="true" outlineLevel="0" collapsed="false"/>
    <row r="4" customFormat="false" ht="25.5" hidden="false" customHeight="true" outlineLevel="0" collapsed="false">
      <c r="A4" s="4" t="s">
        <v>2</v>
      </c>
      <c r="B4" s="4"/>
      <c r="C4" s="4"/>
      <c r="D4" s="4"/>
      <c r="E4" s="4"/>
      <c r="F4" s="4"/>
    </row>
    <row r="5" customFormat="false" ht="21.75" hidden="false" customHeight="true" outlineLevel="0" collapsed="false">
      <c r="A5" s="5" t="s">
        <v>3</v>
      </c>
      <c r="B5" s="5" t="s">
        <v>4</v>
      </c>
      <c r="C5" s="5" t="s">
        <v>5</v>
      </c>
      <c r="D5" s="5" t="s">
        <v>6</v>
      </c>
      <c r="E5" s="5" t="s">
        <v>7</v>
      </c>
      <c r="F5" s="5" t="s">
        <v>8</v>
      </c>
    </row>
    <row r="6" customFormat="false" ht="19.5" hidden="false" customHeight="true" outlineLevel="0" collapsed="false">
      <c r="A6" s="6" t="s">
        <v>9</v>
      </c>
      <c r="B6" s="7"/>
      <c r="C6" s="7"/>
      <c r="D6" s="7"/>
      <c r="E6" s="8" t="str">
        <f aca="false">IF(AND(B6="",C6="",D6=""),"",IFERROR(AVERAGE(B6:D6),""))</f>
        <v/>
      </c>
      <c r="F6" s="9"/>
    </row>
    <row r="7" customFormat="false" ht="19.5" hidden="false" customHeight="true" outlineLevel="0" collapsed="false">
      <c r="A7" s="6" t="s">
        <v>10</v>
      </c>
      <c r="B7" s="7"/>
      <c r="C7" s="7"/>
      <c r="D7" s="7"/>
      <c r="E7" s="8" t="str">
        <f aca="false">IF(AND(B7="",C7="",D7=""),"",IFERROR(AVERAGE(B7:D7),""))</f>
        <v/>
      </c>
      <c r="F7" s="9"/>
    </row>
    <row r="8" customFormat="false" ht="19.5" hidden="false" customHeight="true" outlineLevel="0" collapsed="false">
      <c r="A8" s="6" t="s">
        <v>11</v>
      </c>
      <c r="B8" s="7"/>
      <c r="C8" s="7"/>
      <c r="D8" s="7"/>
      <c r="E8" s="8" t="str">
        <f aca="false">IF(AND(B8="",C8="",D8=""),"",IFERROR(AVERAGE(B8:D8),""))</f>
        <v/>
      </c>
      <c r="F8" s="9"/>
    </row>
    <row r="9" customFormat="false" ht="19.5" hidden="false" customHeight="true" outlineLevel="0" collapsed="false">
      <c r="A9" s="6" t="s">
        <v>12</v>
      </c>
      <c r="B9" s="7"/>
      <c r="C9" s="7"/>
      <c r="D9" s="7"/>
      <c r="E9" s="8" t="str">
        <f aca="false">IF(AND(B9="",C9="",D9=""),"",IFERROR(AVERAGE(B9:D9),""))</f>
        <v/>
      </c>
      <c r="F9" s="9"/>
    </row>
    <row r="10" customFormat="false" ht="19.5" hidden="false" customHeight="true" outlineLevel="0" collapsed="false">
      <c r="A10" s="6" t="s">
        <v>13</v>
      </c>
      <c r="B10" s="7"/>
      <c r="C10" s="7"/>
      <c r="D10" s="7"/>
      <c r="E10" s="8" t="str">
        <f aca="false">IF(AND(B10="",C10="",D10=""),"",IFERROR(AVERAGE(B10:D10),""))</f>
        <v/>
      </c>
      <c r="F10" s="9"/>
    </row>
    <row r="11" customFormat="false" ht="19.5" hidden="false" customHeight="true" outlineLevel="0" collapsed="false">
      <c r="A11" s="6" t="s">
        <v>14</v>
      </c>
      <c r="B11" s="7"/>
      <c r="C11" s="7"/>
      <c r="D11" s="7"/>
      <c r="E11" s="8" t="str">
        <f aca="false">IF(AND(B11="",C11="",D11=""),"",IFERROR(AVERAGE(B11:D11),""))</f>
        <v/>
      </c>
      <c r="F11" s="9"/>
    </row>
    <row r="12" customFormat="false" ht="19.5" hidden="false" customHeight="true" outlineLevel="0" collapsed="false">
      <c r="A12" s="6" t="s">
        <v>15</v>
      </c>
      <c r="B12" s="7"/>
      <c r="C12" s="7"/>
      <c r="D12" s="7"/>
      <c r="E12" s="8" t="str">
        <f aca="false">IF(AND(B12="",C12="",D12=""),"",IFERROR(AVERAGE(B12:D12),""))</f>
        <v/>
      </c>
      <c r="F12" s="9"/>
    </row>
    <row r="13" customFormat="false" ht="21.75" hidden="false" customHeight="true" outlineLevel="0" collapsed="false">
      <c r="A13" s="10" t="s">
        <v>16</v>
      </c>
      <c r="B13" s="11"/>
      <c r="C13" s="11"/>
      <c r="D13" s="11"/>
      <c r="E13" s="12" t="str">
        <f aca="false">IFERROR(AVERAGE(E6:E12),"")</f>
        <v/>
      </c>
      <c r="F13" s="12" t="str">
        <f aca="false">IF(E13="","",IF(E13&gt;=3.5,"✅ HIRE","❌ NO HIRE"))</f>
        <v/>
      </c>
    </row>
    <row r="15" customFormat="false" ht="25.5" hidden="false" customHeight="true" outlineLevel="0" collapsed="false">
      <c r="A15" s="4" t="s">
        <v>17</v>
      </c>
      <c r="B15" s="4"/>
      <c r="C15" s="4"/>
      <c r="D15" s="4"/>
      <c r="E15" s="4"/>
      <c r="F15" s="4"/>
    </row>
    <row r="16" customFormat="false" ht="21.75" hidden="false" customHeight="true" outlineLevel="0" collapsed="false">
      <c r="A16" s="5" t="s">
        <v>3</v>
      </c>
      <c r="B16" s="5" t="s">
        <v>4</v>
      </c>
      <c r="C16" s="5" t="s">
        <v>5</v>
      </c>
      <c r="D16" s="5" t="s">
        <v>6</v>
      </c>
      <c r="E16" s="5" t="s">
        <v>7</v>
      </c>
      <c r="F16" s="5" t="s">
        <v>8</v>
      </c>
    </row>
    <row r="17" customFormat="false" ht="19.5" hidden="false" customHeight="true" outlineLevel="0" collapsed="false">
      <c r="A17" s="6" t="s">
        <v>18</v>
      </c>
      <c r="B17" s="7"/>
      <c r="C17" s="7"/>
      <c r="D17" s="7"/>
      <c r="E17" s="8" t="str">
        <f aca="false">IF(AND(B17="",C17="",D17=""),"",IFERROR(AVERAGE(B17:D17),""))</f>
        <v/>
      </c>
      <c r="F17" s="9"/>
    </row>
    <row r="18" customFormat="false" ht="19.5" hidden="false" customHeight="true" outlineLevel="0" collapsed="false">
      <c r="A18" s="6" t="s">
        <v>19</v>
      </c>
      <c r="B18" s="7"/>
      <c r="C18" s="7"/>
      <c r="D18" s="7"/>
      <c r="E18" s="8" t="str">
        <f aca="false">IF(AND(B18="",C18="",D18=""),"",IFERROR(AVERAGE(B18:D18),""))</f>
        <v/>
      </c>
      <c r="F18" s="9"/>
    </row>
    <row r="19" customFormat="false" ht="19.5" hidden="false" customHeight="true" outlineLevel="0" collapsed="false">
      <c r="A19" s="6" t="s">
        <v>20</v>
      </c>
      <c r="B19" s="7"/>
      <c r="C19" s="7"/>
      <c r="D19" s="7"/>
      <c r="E19" s="8" t="str">
        <f aca="false">IF(AND(B19="",C19="",D19=""),"",IFERROR(AVERAGE(B19:D19),""))</f>
        <v/>
      </c>
      <c r="F19" s="9"/>
    </row>
    <row r="20" customFormat="false" ht="19.5" hidden="false" customHeight="true" outlineLevel="0" collapsed="false">
      <c r="A20" s="6" t="s">
        <v>21</v>
      </c>
      <c r="B20" s="7"/>
      <c r="C20" s="7"/>
      <c r="D20" s="7"/>
      <c r="E20" s="8" t="str">
        <f aca="false">IF(AND(B20="",C20="",D20=""),"",IFERROR(AVERAGE(B20:D20),""))</f>
        <v/>
      </c>
      <c r="F20" s="9"/>
    </row>
    <row r="21" customFormat="false" ht="19.5" hidden="false" customHeight="true" outlineLevel="0" collapsed="false">
      <c r="A21" s="6" t="s">
        <v>22</v>
      </c>
      <c r="B21" s="7"/>
      <c r="C21" s="7"/>
      <c r="D21" s="7"/>
      <c r="E21" s="8" t="str">
        <f aca="false">IF(AND(B21="",C21="",D21=""),"",IFERROR(AVERAGE(B21:D21),""))</f>
        <v/>
      </c>
      <c r="F21" s="9"/>
    </row>
    <row r="22" customFormat="false" ht="19.5" hidden="false" customHeight="true" outlineLevel="0" collapsed="false">
      <c r="A22" s="6" t="s">
        <v>23</v>
      </c>
      <c r="B22" s="7"/>
      <c r="C22" s="7"/>
      <c r="D22" s="7"/>
      <c r="E22" s="8" t="str">
        <f aca="false">IF(AND(B22="",C22="",D22=""),"",IFERROR(AVERAGE(B22:D22),""))</f>
        <v/>
      </c>
      <c r="F22" s="9"/>
    </row>
    <row r="23" customFormat="false" ht="19.5" hidden="false" customHeight="true" outlineLevel="0" collapsed="false">
      <c r="A23" s="6" t="s">
        <v>24</v>
      </c>
      <c r="B23" s="7"/>
      <c r="C23" s="7"/>
      <c r="D23" s="7"/>
      <c r="E23" s="8" t="str">
        <f aca="false">IF(AND(B23="",C23="",D23=""),"",IFERROR(AVERAGE(B23:D23),""))</f>
        <v/>
      </c>
      <c r="F23" s="9"/>
    </row>
    <row r="24" customFormat="false" ht="21.75" hidden="false" customHeight="true" outlineLevel="0" collapsed="false">
      <c r="A24" s="10" t="s">
        <v>16</v>
      </c>
      <c r="B24" s="11"/>
      <c r="C24" s="11"/>
      <c r="D24" s="11"/>
      <c r="E24" s="12" t="str">
        <f aca="false">IFERROR(AVERAGE(E17:E23),"")</f>
        <v/>
      </c>
      <c r="F24" s="12" t="str">
        <f aca="false">IF(E24="","",IF(E24&gt;=3.5,"✅ HIRE","❌ NO HIRE"))</f>
        <v/>
      </c>
    </row>
    <row r="26" customFormat="false" ht="25.5" hidden="false" customHeight="true" outlineLevel="0" collapsed="false">
      <c r="A26" s="4" t="s">
        <v>25</v>
      </c>
      <c r="B26" s="4"/>
      <c r="C26" s="4"/>
      <c r="D26" s="4"/>
      <c r="E26" s="4"/>
      <c r="F26" s="4"/>
    </row>
    <row r="27" customFormat="false" ht="21.75" hidden="false" customHeight="true" outlineLevel="0" collapsed="false">
      <c r="A27" s="5" t="s">
        <v>3</v>
      </c>
      <c r="B27" s="5" t="s">
        <v>4</v>
      </c>
      <c r="C27" s="5" t="s">
        <v>5</v>
      </c>
      <c r="D27" s="5" t="s">
        <v>6</v>
      </c>
      <c r="E27" s="5" t="s">
        <v>7</v>
      </c>
      <c r="F27" s="5" t="s">
        <v>8</v>
      </c>
    </row>
    <row r="28" customFormat="false" ht="19.5" hidden="false" customHeight="true" outlineLevel="0" collapsed="false">
      <c r="A28" s="6" t="s">
        <v>26</v>
      </c>
      <c r="B28" s="7"/>
      <c r="C28" s="7"/>
      <c r="D28" s="7"/>
      <c r="E28" s="8" t="str">
        <f aca="false">IF(AND(B28="",C28="",D28=""),"",IFERROR(AVERAGE(B28:D28),""))</f>
        <v/>
      </c>
      <c r="F28" s="9"/>
    </row>
    <row r="29" customFormat="false" ht="19.5" hidden="false" customHeight="true" outlineLevel="0" collapsed="false">
      <c r="A29" s="6" t="s">
        <v>27</v>
      </c>
      <c r="B29" s="7"/>
      <c r="C29" s="7"/>
      <c r="D29" s="7"/>
      <c r="E29" s="8" t="str">
        <f aca="false">IF(AND(B29="",C29="",D29=""),"",IFERROR(AVERAGE(B29:D29),""))</f>
        <v/>
      </c>
      <c r="F29" s="9"/>
    </row>
    <row r="30" customFormat="false" ht="19.5" hidden="false" customHeight="true" outlineLevel="0" collapsed="false">
      <c r="A30" s="6" t="s">
        <v>28</v>
      </c>
      <c r="B30" s="7"/>
      <c r="C30" s="7"/>
      <c r="D30" s="7"/>
      <c r="E30" s="8" t="str">
        <f aca="false">IF(AND(B30="",C30="",D30=""),"",IFERROR(AVERAGE(B30:D30),""))</f>
        <v/>
      </c>
      <c r="F30" s="9"/>
    </row>
    <row r="31" customFormat="false" ht="19.5" hidden="false" customHeight="true" outlineLevel="0" collapsed="false">
      <c r="A31" s="6" t="s">
        <v>29</v>
      </c>
      <c r="B31" s="7"/>
      <c r="C31" s="7"/>
      <c r="D31" s="7"/>
      <c r="E31" s="8" t="str">
        <f aca="false">IF(AND(B31="",C31="",D31=""),"",IFERROR(AVERAGE(B31:D31),""))</f>
        <v/>
      </c>
      <c r="F31" s="9"/>
    </row>
    <row r="32" customFormat="false" ht="19.5" hidden="false" customHeight="true" outlineLevel="0" collapsed="false">
      <c r="A32" s="6" t="s">
        <v>30</v>
      </c>
      <c r="B32" s="7"/>
      <c r="C32" s="7"/>
      <c r="D32" s="7"/>
      <c r="E32" s="8" t="str">
        <f aca="false">IF(AND(B32="",C32="",D32=""),"",IFERROR(AVERAGE(B32:D32),""))</f>
        <v/>
      </c>
      <c r="F32" s="9"/>
    </row>
    <row r="33" customFormat="false" ht="19.5" hidden="false" customHeight="true" outlineLevel="0" collapsed="false">
      <c r="A33" s="6" t="s">
        <v>31</v>
      </c>
      <c r="B33" s="7"/>
      <c r="C33" s="7"/>
      <c r="D33" s="7"/>
      <c r="E33" s="8" t="str">
        <f aca="false">IF(AND(B33="",C33="",D33=""),"",IFERROR(AVERAGE(B33:D33),""))</f>
        <v/>
      </c>
      <c r="F33" s="9"/>
    </row>
    <row r="34" customFormat="false" ht="19.5" hidden="false" customHeight="true" outlineLevel="0" collapsed="false">
      <c r="A34" s="6" t="s">
        <v>32</v>
      </c>
      <c r="B34" s="7"/>
      <c r="C34" s="7"/>
      <c r="D34" s="7"/>
      <c r="E34" s="8" t="str">
        <f aca="false">IF(AND(B34="",C34="",D34=""),"",IFERROR(AVERAGE(B34:D34),""))</f>
        <v/>
      </c>
      <c r="F34" s="9"/>
    </row>
    <row r="35" customFormat="false" ht="21.75" hidden="false" customHeight="true" outlineLevel="0" collapsed="false">
      <c r="A35" s="10" t="s">
        <v>16</v>
      </c>
      <c r="B35" s="11"/>
      <c r="C35" s="11"/>
      <c r="D35" s="11"/>
      <c r="E35" s="12" t="str">
        <f aca="false">IFERROR(AVERAGE(E28:E34),"")</f>
        <v/>
      </c>
      <c r="F35" s="12" t="str">
        <f aca="false">IF(E35="","",IF(E35&gt;=3.5,"✅ HIRE","❌ NO HIRE"))</f>
        <v/>
      </c>
    </row>
    <row r="37" customFormat="false" ht="25.5" hidden="false" customHeight="true" outlineLevel="0" collapsed="false">
      <c r="A37" s="4" t="s">
        <v>33</v>
      </c>
      <c r="B37" s="4"/>
      <c r="C37" s="4"/>
      <c r="D37" s="4"/>
      <c r="E37" s="4"/>
      <c r="F37" s="4"/>
    </row>
    <row r="38" customFormat="false" ht="21.75" hidden="false" customHeight="true" outlineLevel="0" collapsed="false">
      <c r="A38" s="5" t="s">
        <v>3</v>
      </c>
      <c r="B38" s="5" t="s">
        <v>4</v>
      </c>
      <c r="C38" s="5" t="s">
        <v>5</v>
      </c>
      <c r="D38" s="5" t="s">
        <v>6</v>
      </c>
      <c r="E38" s="5" t="s">
        <v>7</v>
      </c>
      <c r="F38" s="5" t="s">
        <v>8</v>
      </c>
    </row>
    <row r="39" customFormat="false" ht="19.5" hidden="false" customHeight="true" outlineLevel="0" collapsed="false">
      <c r="A39" s="6" t="s">
        <v>34</v>
      </c>
      <c r="B39" s="7"/>
      <c r="C39" s="7"/>
      <c r="D39" s="7"/>
      <c r="E39" s="8" t="str">
        <f aca="false">IF(AND(B39="",C39="",D39=""),"",IFERROR(AVERAGE(B39:D39),""))</f>
        <v/>
      </c>
      <c r="F39" s="9"/>
    </row>
    <row r="40" customFormat="false" ht="19.5" hidden="false" customHeight="true" outlineLevel="0" collapsed="false">
      <c r="A40" s="6" t="s">
        <v>35</v>
      </c>
      <c r="B40" s="7"/>
      <c r="C40" s="7"/>
      <c r="D40" s="7"/>
      <c r="E40" s="8" t="str">
        <f aca="false">IF(AND(B40="",C40="",D40=""),"",IFERROR(AVERAGE(B40:D40),""))</f>
        <v/>
      </c>
      <c r="F40" s="9"/>
    </row>
    <row r="41" customFormat="false" ht="19.5" hidden="false" customHeight="true" outlineLevel="0" collapsed="false">
      <c r="A41" s="6" t="s">
        <v>36</v>
      </c>
      <c r="B41" s="7"/>
      <c r="C41" s="7"/>
      <c r="D41" s="7"/>
      <c r="E41" s="8" t="str">
        <f aca="false">IF(AND(B41="",C41="",D41=""),"",IFERROR(AVERAGE(B41:D41),""))</f>
        <v/>
      </c>
      <c r="F41" s="9"/>
    </row>
    <row r="42" customFormat="false" ht="19.5" hidden="false" customHeight="true" outlineLevel="0" collapsed="false">
      <c r="A42" s="6" t="s">
        <v>37</v>
      </c>
      <c r="B42" s="7"/>
      <c r="C42" s="7"/>
      <c r="D42" s="7"/>
      <c r="E42" s="8" t="str">
        <f aca="false">IF(AND(B42="",C42="",D42=""),"",IFERROR(AVERAGE(B42:D42),""))</f>
        <v/>
      </c>
      <c r="F42" s="9"/>
    </row>
    <row r="43" customFormat="false" ht="19.5" hidden="false" customHeight="true" outlineLevel="0" collapsed="false">
      <c r="A43" s="6" t="s">
        <v>38</v>
      </c>
      <c r="B43" s="7"/>
      <c r="C43" s="7"/>
      <c r="D43" s="7"/>
      <c r="E43" s="8" t="str">
        <f aca="false">IF(AND(B43="",C43="",D43=""),"",IFERROR(AVERAGE(B43:D43),""))</f>
        <v/>
      </c>
      <c r="F43" s="9"/>
    </row>
    <row r="44" customFormat="false" ht="19.5" hidden="false" customHeight="true" outlineLevel="0" collapsed="false">
      <c r="A44" s="6" t="s">
        <v>39</v>
      </c>
      <c r="B44" s="7"/>
      <c r="C44" s="7"/>
      <c r="D44" s="7"/>
      <c r="E44" s="8" t="str">
        <f aca="false">IF(AND(B44="",C44="",D44=""),"",IFERROR(AVERAGE(B44:D44),""))</f>
        <v/>
      </c>
      <c r="F44" s="9"/>
    </row>
    <row r="45" customFormat="false" ht="19.5" hidden="false" customHeight="true" outlineLevel="0" collapsed="false">
      <c r="A45" s="6" t="s">
        <v>40</v>
      </c>
      <c r="B45" s="7"/>
      <c r="C45" s="7"/>
      <c r="D45" s="7"/>
      <c r="E45" s="8" t="str">
        <f aca="false">IF(AND(B45="",C45="",D45=""),"",IFERROR(AVERAGE(B45:D45),""))</f>
        <v/>
      </c>
      <c r="F45" s="9"/>
    </row>
    <row r="46" customFormat="false" ht="21.75" hidden="false" customHeight="true" outlineLevel="0" collapsed="false">
      <c r="A46" s="10" t="s">
        <v>16</v>
      </c>
      <c r="B46" s="11"/>
      <c r="C46" s="11"/>
      <c r="D46" s="11"/>
      <c r="E46" s="12" t="str">
        <f aca="false">IFERROR(AVERAGE(E39:E45),"")</f>
        <v/>
      </c>
      <c r="F46" s="12" t="str">
        <f aca="false">IF(E46="","",IF(E46&gt;=3.5,"✅ HIRE","❌ NO HIRE"))</f>
        <v/>
      </c>
    </row>
    <row r="48" customFormat="false" ht="25.5" hidden="false" customHeight="true" outlineLevel="0" collapsed="false">
      <c r="A48" s="4" t="s">
        <v>41</v>
      </c>
      <c r="B48" s="4"/>
      <c r="C48" s="4"/>
      <c r="D48" s="4"/>
      <c r="E48" s="4"/>
      <c r="F48" s="4"/>
    </row>
    <row r="49" customFormat="false" ht="21.75" hidden="false" customHeight="true" outlineLevel="0" collapsed="false">
      <c r="A49" s="5" t="s">
        <v>3</v>
      </c>
      <c r="B49" s="5" t="s">
        <v>4</v>
      </c>
      <c r="C49" s="5" t="s">
        <v>5</v>
      </c>
      <c r="D49" s="5" t="s">
        <v>6</v>
      </c>
      <c r="E49" s="5" t="s">
        <v>7</v>
      </c>
      <c r="F49" s="5" t="s">
        <v>8</v>
      </c>
    </row>
    <row r="50" customFormat="false" ht="19.5" hidden="false" customHeight="true" outlineLevel="0" collapsed="false">
      <c r="A50" s="6" t="s">
        <v>42</v>
      </c>
      <c r="B50" s="7"/>
      <c r="C50" s="7"/>
      <c r="D50" s="7"/>
      <c r="E50" s="8" t="str">
        <f aca="false">IF(AND(B50="",C50="",D50=""),"",IFERROR(AVERAGE(B50:D50),""))</f>
        <v/>
      </c>
      <c r="F50" s="9"/>
    </row>
    <row r="51" customFormat="false" ht="19.5" hidden="false" customHeight="true" outlineLevel="0" collapsed="false">
      <c r="A51" s="6" t="s">
        <v>43</v>
      </c>
      <c r="B51" s="7"/>
      <c r="C51" s="7"/>
      <c r="D51" s="7"/>
      <c r="E51" s="8" t="str">
        <f aca="false">IF(AND(B51="",C51="",D51=""),"",IFERROR(AVERAGE(B51:D51),""))</f>
        <v/>
      </c>
      <c r="F51" s="9"/>
    </row>
    <row r="52" customFormat="false" ht="19.5" hidden="false" customHeight="true" outlineLevel="0" collapsed="false">
      <c r="A52" s="6" t="s">
        <v>44</v>
      </c>
      <c r="B52" s="7"/>
      <c r="C52" s="7"/>
      <c r="D52" s="7"/>
      <c r="E52" s="8" t="str">
        <f aca="false">IF(AND(B52="",C52="",D52=""),"",IFERROR(AVERAGE(B52:D52),""))</f>
        <v/>
      </c>
      <c r="F52" s="9"/>
    </row>
    <row r="53" customFormat="false" ht="19.5" hidden="false" customHeight="true" outlineLevel="0" collapsed="false">
      <c r="A53" s="6" t="s">
        <v>45</v>
      </c>
      <c r="B53" s="7"/>
      <c r="C53" s="7"/>
      <c r="D53" s="7"/>
      <c r="E53" s="8" t="str">
        <f aca="false">IF(AND(B53="",C53="",D53=""),"",IFERROR(AVERAGE(B53:D53),""))</f>
        <v/>
      </c>
      <c r="F53" s="9"/>
    </row>
    <row r="54" customFormat="false" ht="19.5" hidden="false" customHeight="true" outlineLevel="0" collapsed="false">
      <c r="A54" s="6" t="s">
        <v>46</v>
      </c>
      <c r="B54" s="7"/>
      <c r="C54" s="7"/>
      <c r="D54" s="7"/>
      <c r="E54" s="8" t="str">
        <f aca="false">IF(AND(B54="",C54="",D54=""),"",IFERROR(AVERAGE(B54:D54),""))</f>
        <v/>
      </c>
      <c r="F54" s="9"/>
    </row>
    <row r="55" customFormat="false" ht="19.5" hidden="false" customHeight="true" outlineLevel="0" collapsed="false">
      <c r="A55" s="6" t="s">
        <v>47</v>
      </c>
      <c r="B55" s="7"/>
      <c r="C55" s="7"/>
      <c r="D55" s="7"/>
      <c r="E55" s="8" t="str">
        <f aca="false">IF(AND(B55="",C55="",D55=""),"",IFERROR(AVERAGE(B55:D55),""))</f>
        <v/>
      </c>
      <c r="F55" s="9"/>
    </row>
    <row r="56" customFormat="false" ht="19.5" hidden="false" customHeight="true" outlineLevel="0" collapsed="false">
      <c r="A56" s="6" t="s">
        <v>48</v>
      </c>
      <c r="B56" s="7"/>
      <c r="C56" s="7"/>
      <c r="D56" s="7"/>
      <c r="E56" s="8" t="str">
        <f aca="false">IF(AND(B56="",C56="",D56=""),"",IFERROR(AVERAGE(B56:D56),""))</f>
        <v/>
      </c>
      <c r="F56" s="9"/>
    </row>
    <row r="57" customFormat="false" ht="21.75" hidden="false" customHeight="true" outlineLevel="0" collapsed="false">
      <c r="A57" s="10" t="s">
        <v>16</v>
      </c>
      <c r="B57" s="11"/>
      <c r="C57" s="11"/>
      <c r="D57" s="11"/>
      <c r="E57" s="12" t="str">
        <f aca="false">IFERROR(AVERAGE(E50:E56),"")</f>
        <v/>
      </c>
      <c r="F57" s="12" t="str">
        <f aca="false">IF(E57="","",IF(E57&gt;=3.5,"✅ HIRE","❌ NO HIRE"))</f>
        <v/>
      </c>
    </row>
    <row r="59" customFormat="false" ht="25.5" hidden="false" customHeight="true" outlineLevel="0" collapsed="false">
      <c r="A59" s="4" t="s">
        <v>49</v>
      </c>
      <c r="B59" s="4"/>
      <c r="C59" s="4"/>
      <c r="D59" s="4"/>
      <c r="E59" s="4"/>
      <c r="F59" s="4"/>
    </row>
    <row r="60" customFormat="false" ht="21.75" hidden="false" customHeight="true" outlineLevel="0" collapsed="false">
      <c r="A60" s="5" t="s">
        <v>3</v>
      </c>
      <c r="B60" s="5" t="s">
        <v>4</v>
      </c>
      <c r="C60" s="5" t="s">
        <v>5</v>
      </c>
      <c r="D60" s="5" t="s">
        <v>6</v>
      </c>
      <c r="E60" s="5" t="s">
        <v>7</v>
      </c>
      <c r="F60" s="5" t="s">
        <v>8</v>
      </c>
    </row>
    <row r="61" customFormat="false" ht="19.5" hidden="false" customHeight="true" outlineLevel="0" collapsed="false">
      <c r="A61" s="6" t="s">
        <v>50</v>
      </c>
      <c r="B61" s="7"/>
      <c r="C61" s="7"/>
      <c r="D61" s="7"/>
      <c r="E61" s="8" t="str">
        <f aca="false">IF(AND(B61="",C61="",D61=""),"",IFERROR(AVERAGE(B61:D61),""))</f>
        <v/>
      </c>
      <c r="F61" s="9"/>
    </row>
    <row r="62" customFormat="false" ht="19.5" hidden="false" customHeight="true" outlineLevel="0" collapsed="false">
      <c r="A62" s="6" t="s">
        <v>51</v>
      </c>
      <c r="B62" s="7"/>
      <c r="C62" s="7"/>
      <c r="D62" s="7"/>
      <c r="E62" s="8" t="str">
        <f aca="false">IF(AND(B62="",C62="",D62=""),"",IFERROR(AVERAGE(B62:D62),""))</f>
        <v/>
      </c>
      <c r="F62" s="9"/>
    </row>
    <row r="63" customFormat="false" ht="19.5" hidden="false" customHeight="true" outlineLevel="0" collapsed="false">
      <c r="A63" s="6" t="s">
        <v>52</v>
      </c>
      <c r="B63" s="7"/>
      <c r="C63" s="7"/>
      <c r="D63" s="7"/>
      <c r="E63" s="8" t="str">
        <f aca="false">IF(AND(B63="",C63="",D63=""),"",IFERROR(AVERAGE(B63:D63),""))</f>
        <v/>
      </c>
      <c r="F63" s="9"/>
    </row>
    <row r="64" customFormat="false" ht="19.5" hidden="false" customHeight="true" outlineLevel="0" collapsed="false">
      <c r="A64" s="6" t="s">
        <v>53</v>
      </c>
      <c r="B64" s="7"/>
      <c r="C64" s="7"/>
      <c r="D64" s="7"/>
      <c r="E64" s="8" t="str">
        <f aca="false">IF(AND(B64="",C64="",D64=""),"",IFERROR(AVERAGE(B64:D64),""))</f>
        <v/>
      </c>
      <c r="F64" s="9"/>
    </row>
    <row r="65" customFormat="false" ht="19.5" hidden="false" customHeight="true" outlineLevel="0" collapsed="false">
      <c r="A65" s="6" t="s">
        <v>54</v>
      </c>
      <c r="B65" s="7"/>
      <c r="C65" s="7"/>
      <c r="D65" s="7"/>
      <c r="E65" s="8" t="str">
        <f aca="false">IF(AND(B65="",C65="",D65=""),"",IFERROR(AVERAGE(B65:D65),""))</f>
        <v/>
      </c>
      <c r="F65" s="9"/>
    </row>
    <row r="66" customFormat="false" ht="19.5" hidden="false" customHeight="true" outlineLevel="0" collapsed="false">
      <c r="A66" s="6" t="s">
        <v>55</v>
      </c>
      <c r="B66" s="7"/>
      <c r="C66" s="7"/>
      <c r="D66" s="7"/>
      <c r="E66" s="8" t="str">
        <f aca="false">IF(AND(B66="",C66="",D66=""),"",IFERROR(AVERAGE(B66:D66),""))</f>
        <v/>
      </c>
      <c r="F66" s="9"/>
    </row>
    <row r="67" customFormat="false" ht="19.5" hidden="false" customHeight="true" outlineLevel="0" collapsed="false">
      <c r="A67" s="6" t="s">
        <v>56</v>
      </c>
      <c r="B67" s="7"/>
      <c r="C67" s="7"/>
      <c r="D67" s="7"/>
      <c r="E67" s="8" t="str">
        <f aca="false">IF(AND(B67="",C67="",D67=""),"",IFERROR(AVERAGE(B67:D67),""))</f>
        <v/>
      </c>
      <c r="F67" s="9"/>
    </row>
    <row r="68" customFormat="false" ht="21.75" hidden="false" customHeight="true" outlineLevel="0" collapsed="false">
      <c r="A68" s="10" t="s">
        <v>16</v>
      </c>
      <c r="B68" s="11"/>
      <c r="C68" s="11"/>
      <c r="D68" s="11"/>
      <c r="E68" s="12" t="str">
        <f aca="false">IFERROR(AVERAGE(E61:E67),"")</f>
        <v/>
      </c>
      <c r="F68" s="12" t="str">
        <f aca="false">IF(E68="","",IF(E68&gt;=3.5,"✅ HIRE","❌ NO HIRE"))</f>
        <v/>
      </c>
    </row>
    <row r="70" customFormat="false" ht="25.5" hidden="false" customHeight="true" outlineLevel="0" collapsed="false">
      <c r="A70" s="4" t="s">
        <v>57</v>
      </c>
      <c r="B70" s="4"/>
      <c r="C70" s="4"/>
      <c r="D70" s="4"/>
      <c r="E70" s="4"/>
      <c r="F70" s="4"/>
    </row>
    <row r="71" customFormat="false" ht="21.75" hidden="false" customHeight="true" outlineLevel="0" collapsed="false">
      <c r="A71" s="5" t="s">
        <v>3</v>
      </c>
      <c r="B71" s="5" t="s">
        <v>4</v>
      </c>
      <c r="C71" s="5" t="s">
        <v>5</v>
      </c>
      <c r="D71" s="5" t="s">
        <v>6</v>
      </c>
      <c r="E71" s="5" t="s">
        <v>7</v>
      </c>
      <c r="F71" s="5" t="s">
        <v>8</v>
      </c>
    </row>
    <row r="72" customFormat="false" ht="19.5" hidden="false" customHeight="true" outlineLevel="0" collapsed="false">
      <c r="A72" s="6" t="s">
        <v>58</v>
      </c>
      <c r="B72" s="7"/>
      <c r="C72" s="7"/>
      <c r="D72" s="7"/>
      <c r="E72" s="8" t="str">
        <f aca="false">IF(AND(B72="",C72="",D72=""),"",IFERROR(AVERAGE(B72:D72),""))</f>
        <v/>
      </c>
      <c r="F72" s="9"/>
    </row>
    <row r="73" customFormat="false" ht="19.5" hidden="false" customHeight="true" outlineLevel="0" collapsed="false">
      <c r="A73" s="6" t="s">
        <v>59</v>
      </c>
      <c r="B73" s="7"/>
      <c r="C73" s="7"/>
      <c r="D73" s="7"/>
      <c r="E73" s="8" t="str">
        <f aca="false">IF(AND(B73="",C73="",D73=""),"",IFERROR(AVERAGE(B73:D73),""))</f>
        <v/>
      </c>
      <c r="F73" s="9"/>
    </row>
    <row r="74" customFormat="false" ht="19.5" hidden="false" customHeight="true" outlineLevel="0" collapsed="false">
      <c r="A74" s="6" t="s">
        <v>60</v>
      </c>
      <c r="B74" s="7"/>
      <c r="C74" s="7"/>
      <c r="D74" s="7"/>
      <c r="E74" s="8" t="str">
        <f aca="false">IF(AND(B74="",C74="",D74=""),"",IFERROR(AVERAGE(B74:D74),""))</f>
        <v/>
      </c>
      <c r="F74" s="9"/>
    </row>
    <row r="75" customFormat="false" ht="19.5" hidden="false" customHeight="true" outlineLevel="0" collapsed="false">
      <c r="A75" s="6" t="s">
        <v>61</v>
      </c>
      <c r="B75" s="7"/>
      <c r="C75" s="7"/>
      <c r="D75" s="7"/>
      <c r="E75" s="8" t="str">
        <f aca="false">IF(AND(B75="",C75="",D75=""),"",IFERROR(AVERAGE(B75:D75),""))</f>
        <v/>
      </c>
      <c r="F75" s="9"/>
    </row>
    <row r="76" customFormat="false" ht="19.5" hidden="false" customHeight="true" outlineLevel="0" collapsed="false">
      <c r="A76" s="6" t="s">
        <v>62</v>
      </c>
      <c r="B76" s="7"/>
      <c r="C76" s="7"/>
      <c r="D76" s="7"/>
      <c r="E76" s="8" t="str">
        <f aca="false">IF(AND(B76="",C76="",D76=""),"",IFERROR(AVERAGE(B76:D76),""))</f>
        <v/>
      </c>
      <c r="F76" s="9"/>
    </row>
    <row r="77" customFormat="false" ht="19.5" hidden="false" customHeight="true" outlineLevel="0" collapsed="false">
      <c r="A77" s="6" t="s">
        <v>63</v>
      </c>
      <c r="B77" s="7"/>
      <c r="C77" s="7"/>
      <c r="D77" s="7"/>
      <c r="E77" s="8" t="str">
        <f aca="false">IF(AND(B77="",C77="",D77=""),"",IFERROR(AVERAGE(B77:D77),""))</f>
        <v/>
      </c>
      <c r="F77" s="9"/>
    </row>
    <row r="78" customFormat="false" ht="19.5" hidden="false" customHeight="true" outlineLevel="0" collapsed="false">
      <c r="A78" s="6" t="s">
        <v>64</v>
      </c>
      <c r="B78" s="7"/>
      <c r="C78" s="7"/>
      <c r="D78" s="7"/>
      <c r="E78" s="8" t="str">
        <f aca="false">IF(AND(B78="",C78="",D78=""),"",IFERROR(AVERAGE(B78:D78),""))</f>
        <v/>
      </c>
      <c r="F78" s="9"/>
    </row>
    <row r="79" customFormat="false" ht="21.75" hidden="false" customHeight="true" outlineLevel="0" collapsed="false">
      <c r="A79" s="10" t="s">
        <v>16</v>
      </c>
      <c r="B79" s="11"/>
      <c r="C79" s="11"/>
      <c r="D79" s="11"/>
      <c r="E79" s="12" t="str">
        <f aca="false">IFERROR(AVERAGE(E72:E78),"")</f>
        <v/>
      </c>
      <c r="F79" s="12" t="str">
        <f aca="false">IF(E79="","",IF(E79&gt;=3.5,"✅ HIRE","❌ NO HIRE"))</f>
        <v/>
      </c>
    </row>
    <row r="81" customFormat="false" ht="25.5" hidden="false" customHeight="true" outlineLevel="0" collapsed="false">
      <c r="A81" s="4" t="s">
        <v>65</v>
      </c>
      <c r="B81" s="4"/>
      <c r="C81" s="4"/>
      <c r="D81" s="4"/>
      <c r="E81" s="4"/>
      <c r="F81" s="4"/>
    </row>
    <row r="82" customFormat="false" ht="21.75" hidden="false" customHeight="true" outlineLevel="0" collapsed="false">
      <c r="A82" s="5" t="s">
        <v>3</v>
      </c>
      <c r="B82" s="5" t="s">
        <v>4</v>
      </c>
      <c r="C82" s="5" t="s">
        <v>5</v>
      </c>
      <c r="D82" s="5" t="s">
        <v>6</v>
      </c>
      <c r="E82" s="5" t="s">
        <v>7</v>
      </c>
      <c r="F82" s="5" t="s">
        <v>8</v>
      </c>
    </row>
    <row r="83" customFormat="false" ht="19.5" hidden="false" customHeight="true" outlineLevel="0" collapsed="false">
      <c r="A83" s="6" t="s">
        <v>66</v>
      </c>
      <c r="B83" s="7"/>
      <c r="C83" s="7"/>
      <c r="D83" s="7"/>
      <c r="E83" s="8" t="str">
        <f aca="false">IF(AND(B83="",C83="",D83=""),"",IFERROR(AVERAGE(B83:D83),""))</f>
        <v/>
      </c>
      <c r="F83" s="9"/>
    </row>
    <row r="84" customFormat="false" ht="19.5" hidden="false" customHeight="true" outlineLevel="0" collapsed="false">
      <c r="A84" s="6" t="s">
        <v>67</v>
      </c>
      <c r="B84" s="7"/>
      <c r="C84" s="7"/>
      <c r="D84" s="7"/>
      <c r="E84" s="8" t="str">
        <f aca="false">IF(AND(B84="",C84="",D84=""),"",IFERROR(AVERAGE(B84:D84),""))</f>
        <v/>
      </c>
      <c r="F84" s="9"/>
    </row>
    <row r="85" customFormat="false" ht="19.5" hidden="false" customHeight="true" outlineLevel="0" collapsed="false">
      <c r="A85" s="6" t="s">
        <v>68</v>
      </c>
      <c r="B85" s="7"/>
      <c r="C85" s="7"/>
      <c r="D85" s="7"/>
      <c r="E85" s="8" t="str">
        <f aca="false">IF(AND(B85="",C85="",D85=""),"",IFERROR(AVERAGE(B85:D85),""))</f>
        <v/>
      </c>
      <c r="F85" s="9"/>
    </row>
    <row r="86" customFormat="false" ht="19.5" hidden="false" customHeight="true" outlineLevel="0" collapsed="false">
      <c r="A86" s="6" t="s">
        <v>69</v>
      </c>
      <c r="B86" s="7"/>
      <c r="C86" s="7"/>
      <c r="D86" s="7"/>
      <c r="E86" s="8" t="str">
        <f aca="false">IF(AND(B86="",C86="",D86=""),"",IFERROR(AVERAGE(B86:D86),""))</f>
        <v/>
      </c>
      <c r="F86" s="9"/>
    </row>
    <row r="87" customFormat="false" ht="19.5" hidden="false" customHeight="true" outlineLevel="0" collapsed="false">
      <c r="A87" s="6" t="s">
        <v>70</v>
      </c>
      <c r="B87" s="7"/>
      <c r="C87" s="7"/>
      <c r="D87" s="7"/>
      <c r="E87" s="8" t="str">
        <f aca="false">IF(AND(B87="",C87="",D87=""),"",IFERROR(AVERAGE(B87:D87),""))</f>
        <v/>
      </c>
      <c r="F87" s="9"/>
    </row>
    <row r="88" customFormat="false" ht="19.5" hidden="false" customHeight="true" outlineLevel="0" collapsed="false">
      <c r="A88" s="6" t="s">
        <v>71</v>
      </c>
      <c r="B88" s="7"/>
      <c r="C88" s="7"/>
      <c r="D88" s="7"/>
      <c r="E88" s="8" t="str">
        <f aca="false">IF(AND(B88="",C88="",D88=""),"",IFERROR(AVERAGE(B88:D88),""))</f>
        <v/>
      </c>
      <c r="F88" s="9"/>
    </row>
    <row r="89" customFormat="false" ht="19.5" hidden="false" customHeight="true" outlineLevel="0" collapsed="false">
      <c r="A89" s="6" t="s">
        <v>72</v>
      </c>
      <c r="B89" s="7"/>
      <c r="C89" s="7"/>
      <c r="D89" s="7"/>
      <c r="E89" s="8" t="str">
        <f aca="false">IF(AND(B89="",C89="",D89=""),"",IFERROR(AVERAGE(B89:D89),""))</f>
        <v/>
      </c>
      <c r="F89" s="9"/>
    </row>
    <row r="90" customFormat="false" ht="21.75" hidden="false" customHeight="true" outlineLevel="0" collapsed="false">
      <c r="A90" s="10" t="s">
        <v>16</v>
      </c>
      <c r="B90" s="11"/>
      <c r="C90" s="11"/>
      <c r="D90" s="11"/>
      <c r="E90" s="12" t="str">
        <f aca="false">IFERROR(AVERAGE(E83:E89),"")</f>
        <v/>
      </c>
      <c r="F90" s="12" t="str">
        <f aca="false">IF(E90="","",IF(E90&gt;=3.5,"✅ HIRE","❌ NO HIRE"))</f>
        <v/>
      </c>
    </row>
  </sheetData>
  <mergeCells count="10">
    <mergeCell ref="A1:F1"/>
    <mergeCell ref="A2:F2"/>
    <mergeCell ref="A4:F4"/>
    <mergeCell ref="A15:F15"/>
    <mergeCell ref="A26:F26"/>
    <mergeCell ref="A37:F37"/>
    <mergeCell ref="A48:F48"/>
    <mergeCell ref="A59:F59"/>
    <mergeCell ref="A70:F70"/>
    <mergeCell ref="A81:F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78"/>
  </cols>
  <sheetData>
    <row r="1" customFormat="false" ht="36" hidden="false" customHeight="true" outlineLevel="0" collapsed="false">
      <c r="A1" s="2" t="s">
        <v>73</v>
      </c>
      <c r="B1" s="2"/>
    </row>
    <row r="2" customFormat="false" ht="21.75" hidden="false" customHeight="true" outlineLevel="0" collapsed="false">
      <c r="A2" s="3" t="s">
        <v>74</v>
      </c>
      <c r="B2" s="3"/>
    </row>
    <row r="4" customFormat="false" ht="27.75" hidden="false" customHeight="true" outlineLevel="0" collapsed="false">
      <c r="A4" s="4" t="s">
        <v>75</v>
      </c>
      <c r="B4" s="4"/>
    </row>
    <row r="5" customFormat="false" ht="19.5" hidden="false" customHeight="true" outlineLevel="0" collapsed="false">
      <c r="A5" s="10" t="s">
        <v>76</v>
      </c>
      <c r="B5" s="13" t="s">
        <v>77</v>
      </c>
    </row>
    <row r="6" customFormat="false" ht="19.5" hidden="false" customHeight="true" outlineLevel="0" collapsed="false">
      <c r="A6" s="10" t="s">
        <v>78</v>
      </c>
      <c r="B6" s="13" t="s">
        <v>79</v>
      </c>
    </row>
    <row r="7" customFormat="false" ht="99.75" hidden="false" customHeight="true" outlineLevel="0" collapsed="false">
      <c r="A7" s="10" t="s">
        <v>80</v>
      </c>
      <c r="B7" s="13" t="s">
        <v>81</v>
      </c>
    </row>
    <row r="8" customFormat="false" ht="147.75" hidden="false" customHeight="true" outlineLevel="0" collapsed="false">
      <c r="A8" s="10" t="s">
        <v>82</v>
      </c>
      <c r="B8" s="13" t="s">
        <v>83</v>
      </c>
    </row>
    <row r="9" customFormat="false" ht="84" hidden="false" customHeight="true" outlineLevel="0" collapsed="false">
      <c r="A9" s="10" t="s">
        <v>84</v>
      </c>
      <c r="B9" s="13" t="s">
        <v>85</v>
      </c>
    </row>
    <row r="10" customFormat="false" ht="19.5" hidden="false" customHeight="true" outlineLevel="0" collapsed="false">
      <c r="A10" s="10" t="s">
        <v>86</v>
      </c>
      <c r="B10" s="13" t="s">
        <v>87</v>
      </c>
    </row>
    <row r="12" customFormat="false" ht="27.75" hidden="false" customHeight="true" outlineLevel="0" collapsed="false">
      <c r="A12" s="4" t="s">
        <v>88</v>
      </c>
      <c r="B12" s="4"/>
    </row>
    <row r="13" customFormat="false" ht="19.5" hidden="false" customHeight="true" outlineLevel="0" collapsed="false">
      <c r="A13" s="10" t="s">
        <v>76</v>
      </c>
      <c r="B13" s="13" t="s">
        <v>77</v>
      </c>
    </row>
    <row r="14" customFormat="false" ht="19.5" hidden="false" customHeight="true" outlineLevel="0" collapsed="false">
      <c r="A14" s="10" t="s">
        <v>78</v>
      </c>
      <c r="B14" s="13" t="s">
        <v>79</v>
      </c>
    </row>
    <row r="15" customFormat="false" ht="99.75" hidden="false" customHeight="true" outlineLevel="0" collapsed="false">
      <c r="A15" s="10" t="s">
        <v>80</v>
      </c>
      <c r="B15" s="13" t="s">
        <v>81</v>
      </c>
    </row>
    <row r="16" customFormat="false" ht="147.75" hidden="false" customHeight="true" outlineLevel="0" collapsed="false">
      <c r="A16" s="10" t="s">
        <v>82</v>
      </c>
      <c r="B16" s="13" t="s">
        <v>83</v>
      </c>
    </row>
    <row r="17" customFormat="false" ht="84" hidden="false" customHeight="true" outlineLevel="0" collapsed="false">
      <c r="A17" s="10" t="s">
        <v>84</v>
      </c>
      <c r="B17" s="13" t="s">
        <v>85</v>
      </c>
    </row>
    <row r="18" customFormat="false" ht="19.5" hidden="false" customHeight="true" outlineLevel="0" collapsed="false">
      <c r="A18" s="10" t="s">
        <v>86</v>
      </c>
      <c r="B18" s="13" t="s">
        <v>87</v>
      </c>
    </row>
    <row r="20" customFormat="false" ht="27.75" hidden="false" customHeight="true" outlineLevel="0" collapsed="false">
      <c r="A20" s="4" t="s">
        <v>89</v>
      </c>
      <c r="B20" s="4"/>
    </row>
    <row r="21" customFormat="false" ht="19.5" hidden="false" customHeight="true" outlineLevel="0" collapsed="false">
      <c r="A21" s="10" t="s">
        <v>76</v>
      </c>
      <c r="B21" s="13" t="s">
        <v>77</v>
      </c>
    </row>
    <row r="22" customFormat="false" ht="19.5" hidden="false" customHeight="true" outlineLevel="0" collapsed="false">
      <c r="A22" s="10" t="s">
        <v>78</v>
      </c>
      <c r="B22" s="13" t="s">
        <v>79</v>
      </c>
    </row>
    <row r="23" customFormat="false" ht="99.75" hidden="false" customHeight="true" outlineLevel="0" collapsed="false">
      <c r="A23" s="10" t="s">
        <v>80</v>
      </c>
      <c r="B23" s="13" t="s">
        <v>81</v>
      </c>
    </row>
    <row r="24" customFormat="false" ht="147.75" hidden="false" customHeight="true" outlineLevel="0" collapsed="false">
      <c r="A24" s="10" t="s">
        <v>82</v>
      </c>
      <c r="B24" s="13" t="s">
        <v>83</v>
      </c>
    </row>
    <row r="25" customFormat="false" ht="84" hidden="false" customHeight="true" outlineLevel="0" collapsed="false">
      <c r="A25" s="10" t="s">
        <v>84</v>
      </c>
      <c r="B25" s="13" t="s">
        <v>85</v>
      </c>
    </row>
    <row r="26" customFormat="false" ht="19.5" hidden="false" customHeight="true" outlineLevel="0" collapsed="false">
      <c r="A26" s="10" t="s">
        <v>86</v>
      </c>
      <c r="B26" s="13" t="s">
        <v>87</v>
      </c>
    </row>
    <row r="28" customFormat="false" ht="27.75" hidden="false" customHeight="true" outlineLevel="0" collapsed="false">
      <c r="A28" s="4" t="s">
        <v>90</v>
      </c>
      <c r="B28" s="4"/>
    </row>
    <row r="29" customFormat="false" ht="19.5" hidden="false" customHeight="true" outlineLevel="0" collapsed="false">
      <c r="A29" s="10" t="s">
        <v>76</v>
      </c>
      <c r="B29" s="13" t="s">
        <v>77</v>
      </c>
    </row>
    <row r="30" customFormat="false" ht="19.5" hidden="false" customHeight="true" outlineLevel="0" collapsed="false">
      <c r="A30" s="10" t="s">
        <v>78</v>
      </c>
      <c r="B30" s="13" t="s">
        <v>79</v>
      </c>
    </row>
    <row r="31" customFormat="false" ht="99.75" hidden="false" customHeight="true" outlineLevel="0" collapsed="false">
      <c r="A31" s="10" t="s">
        <v>80</v>
      </c>
      <c r="B31" s="13" t="s">
        <v>81</v>
      </c>
    </row>
    <row r="32" customFormat="false" ht="147.75" hidden="false" customHeight="true" outlineLevel="0" collapsed="false">
      <c r="A32" s="10" t="s">
        <v>82</v>
      </c>
      <c r="B32" s="13" t="s">
        <v>83</v>
      </c>
    </row>
    <row r="33" customFormat="false" ht="84" hidden="false" customHeight="true" outlineLevel="0" collapsed="false">
      <c r="A33" s="10" t="s">
        <v>84</v>
      </c>
      <c r="B33" s="13" t="s">
        <v>85</v>
      </c>
    </row>
    <row r="34" customFormat="false" ht="19.5" hidden="false" customHeight="true" outlineLevel="0" collapsed="false">
      <c r="A34" s="10" t="s">
        <v>86</v>
      </c>
      <c r="B34" s="13" t="s">
        <v>87</v>
      </c>
    </row>
    <row r="36" customFormat="false" ht="27.75" hidden="false" customHeight="true" outlineLevel="0" collapsed="false">
      <c r="A36" s="4" t="s">
        <v>91</v>
      </c>
      <c r="B36" s="4"/>
    </row>
    <row r="37" customFormat="false" ht="19.5" hidden="false" customHeight="true" outlineLevel="0" collapsed="false">
      <c r="A37" s="10" t="s">
        <v>76</v>
      </c>
      <c r="B37" s="13" t="s">
        <v>77</v>
      </c>
    </row>
    <row r="38" customFormat="false" ht="19.5" hidden="false" customHeight="true" outlineLevel="0" collapsed="false">
      <c r="A38" s="10" t="s">
        <v>78</v>
      </c>
      <c r="B38" s="13" t="s">
        <v>79</v>
      </c>
    </row>
    <row r="39" customFormat="false" ht="99.75" hidden="false" customHeight="true" outlineLevel="0" collapsed="false">
      <c r="A39" s="10" t="s">
        <v>80</v>
      </c>
      <c r="B39" s="13" t="s">
        <v>81</v>
      </c>
    </row>
    <row r="40" customFormat="false" ht="147.75" hidden="false" customHeight="true" outlineLevel="0" collapsed="false">
      <c r="A40" s="10" t="s">
        <v>82</v>
      </c>
      <c r="B40" s="13" t="s">
        <v>83</v>
      </c>
    </row>
    <row r="41" customFormat="false" ht="84" hidden="false" customHeight="true" outlineLevel="0" collapsed="false">
      <c r="A41" s="10" t="s">
        <v>84</v>
      </c>
      <c r="B41" s="13" t="s">
        <v>85</v>
      </c>
    </row>
    <row r="42" customFormat="false" ht="19.5" hidden="false" customHeight="true" outlineLevel="0" collapsed="false">
      <c r="A42" s="10" t="s">
        <v>86</v>
      </c>
      <c r="B42" s="13" t="s">
        <v>87</v>
      </c>
    </row>
    <row r="44" customFormat="false" ht="27.75" hidden="false" customHeight="true" outlineLevel="0" collapsed="false">
      <c r="A44" s="4" t="s">
        <v>92</v>
      </c>
      <c r="B44" s="4"/>
    </row>
    <row r="45" customFormat="false" ht="19.5" hidden="false" customHeight="true" outlineLevel="0" collapsed="false">
      <c r="A45" s="10" t="s">
        <v>76</v>
      </c>
      <c r="B45" s="13" t="s">
        <v>77</v>
      </c>
    </row>
    <row r="46" customFormat="false" ht="19.5" hidden="false" customHeight="true" outlineLevel="0" collapsed="false">
      <c r="A46" s="10" t="s">
        <v>78</v>
      </c>
      <c r="B46" s="13" t="s">
        <v>79</v>
      </c>
    </row>
    <row r="47" customFormat="false" ht="99.75" hidden="false" customHeight="true" outlineLevel="0" collapsed="false">
      <c r="A47" s="10" t="s">
        <v>80</v>
      </c>
      <c r="B47" s="13" t="s">
        <v>81</v>
      </c>
    </row>
    <row r="48" customFormat="false" ht="147.75" hidden="false" customHeight="true" outlineLevel="0" collapsed="false">
      <c r="A48" s="10" t="s">
        <v>82</v>
      </c>
      <c r="B48" s="13" t="s">
        <v>83</v>
      </c>
    </row>
    <row r="49" customFormat="false" ht="84" hidden="false" customHeight="true" outlineLevel="0" collapsed="false">
      <c r="A49" s="10" t="s">
        <v>84</v>
      </c>
      <c r="B49" s="13" t="s">
        <v>85</v>
      </c>
    </row>
    <row r="50" customFormat="false" ht="19.5" hidden="false" customHeight="true" outlineLevel="0" collapsed="false">
      <c r="A50" s="10" t="s">
        <v>86</v>
      </c>
      <c r="B50" s="13" t="s">
        <v>87</v>
      </c>
    </row>
    <row r="52" customFormat="false" ht="27.75" hidden="false" customHeight="true" outlineLevel="0" collapsed="false">
      <c r="A52" s="4" t="s">
        <v>93</v>
      </c>
      <c r="B52" s="4"/>
    </row>
    <row r="53" customFormat="false" ht="19.5" hidden="false" customHeight="true" outlineLevel="0" collapsed="false">
      <c r="A53" s="10" t="s">
        <v>76</v>
      </c>
      <c r="B53" s="13" t="s">
        <v>77</v>
      </c>
    </row>
    <row r="54" customFormat="false" ht="19.5" hidden="false" customHeight="true" outlineLevel="0" collapsed="false">
      <c r="A54" s="10" t="s">
        <v>78</v>
      </c>
      <c r="B54" s="13" t="s">
        <v>79</v>
      </c>
    </row>
    <row r="55" customFormat="false" ht="99.75" hidden="false" customHeight="true" outlineLevel="0" collapsed="false">
      <c r="A55" s="10" t="s">
        <v>80</v>
      </c>
      <c r="B55" s="13" t="s">
        <v>81</v>
      </c>
    </row>
    <row r="56" customFormat="false" ht="147.75" hidden="false" customHeight="true" outlineLevel="0" collapsed="false">
      <c r="A56" s="10" t="s">
        <v>82</v>
      </c>
      <c r="B56" s="13" t="s">
        <v>83</v>
      </c>
    </row>
    <row r="57" customFormat="false" ht="84" hidden="false" customHeight="true" outlineLevel="0" collapsed="false">
      <c r="A57" s="10" t="s">
        <v>84</v>
      </c>
      <c r="B57" s="13" t="s">
        <v>85</v>
      </c>
    </row>
    <row r="58" customFormat="false" ht="19.5" hidden="false" customHeight="true" outlineLevel="0" collapsed="false">
      <c r="A58" s="10" t="s">
        <v>86</v>
      </c>
      <c r="B58" s="13" t="s">
        <v>87</v>
      </c>
    </row>
    <row r="60" customFormat="false" ht="27.75" hidden="false" customHeight="true" outlineLevel="0" collapsed="false">
      <c r="A60" s="4" t="s">
        <v>94</v>
      </c>
      <c r="B60" s="4"/>
    </row>
    <row r="61" customFormat="false" ht="19.5" hidden="false" customHeight="true" outlineLevel="0" collapsed="false">
      <c r="A61" s="10" t="s">
        <v>76</v>
      </c>
      <c r="B61" s="13" t="s">
        <v>77</v>
      </c>
    </row>
    <row r="62" customFormat="false" ht="19.5" hidden="false" customHeight="true" outlineLevel="0" collapsed="false">
      <c r="A62" s="10" t="s">
        <v>78</v>
      </c>
      <c r="B62" s="13" t="s">
        <v>79</v>
      </c>
    </row>
    <row r="63" customFormat="false" ht="99.75" hidden="false" customHeight="true" outlineLevel="0" collapsed="false">
      <c r="A63" s="10" t="s">
        <v>80</v>
      </c>
      <c r="B63" s="13" t="s">
        <v>81</v>
      </c>
    </row>
    <row r="64" customFormat="false" ht="147.75" hidden="false" customHeight="true" outlineLevel="0" collapsed="false">
      <c r="A64" s="10" t="s">
        <v>82</v>
      </c>
      <c r="B64" s="13" t="s">
        <v>83</v>
      </c>
    </row>
    <row r="65" customFormat="false" ht="84" hidden="false" customHeight="true" outlineLevel="0" collapsed="false">
      <c r="A65" s="10" t="s">
        <v>84</v>
      </c>
      <c r="B65" s="13" t="s">
        <v>85</v>
      </c>
    </row>
    <row r="66" customFormat="false" ht="19.5" hidden="false" customHeight="true" outlineLevel="0" collapsed="false">
      <c r="A66" s="10" t="s">
        <v>86</v>
      </c>
      <c r="B66" s="13" t="s">
        <v>87</v>
      </c>
    </row>
    <row r="68" customFormat="false" ht="27.75" hidden="false" customHeight="true" outlineLevel="0" collapsed="false">
      <c r="A68" s="4" t="s">
        <v>95</v>
      </c>
      <c r="B68" s="4"/>
    </row>
    <row r="69" customFormat="false" ht="19.5" hidden="false" customHeight="true" outlineLevel="0" collapsed="false">
      <c r="A69" s="10" t="s">
        <v>76</v>
      </c>
      <c r="B69" s="13" t="s">
        <v>77</v>
      </c>
    </row>
    <row r="70" customFormat="false" ht="19.5" hidden="false" customHeight="true" outlineLevel="0" collapsed="false">
      <c r="A70" s="10" t="s">
        <v>78</v>
      </c>
      <c r="B70" s="13" t="s">
        <v>79</v>
      </c>
    </row>
    <row r="71" customFormat="false" ht="99.75" hidden="false" customHeight="true" outlineLevel="0" collapsed="false">
      <c r="A71" s="10" t="s">
        <v>80</v>
      </c>
      <c r="B71" s="13" t="s">
        <v>81</v>
      </c>
    </row>
    <row r="72" customFormat="false" ht="147.75" hidden="false" customHeight="true" outlineLevel="0" collapsed="false">
      <c r="A72" s="10" t="s">
        <v>82</v>
      </c>
      <c r="B72" s="13" t="s">
        <v>83</v>
      </c>
    </row>
    <row r="73" customFormat="false" ht="84" hidden="false" customHeight="true" outlineLevel="0" collapsed="false">
      <c r="A73" s="10" t="s">
        <v>84</v>
      </c>
      <c r="B73" s="13" t="s">
        <v>85</v>
      </c>
    </row>
    <row r="74" customFormat="false" ht="19.5" hidden="false" customHeight="true" outlineLevel="0" collapsed="false">
      <c r="A74" s="10" t="s">
        <v>86</v>
      </c>
      <c r="B74" s="13" t="s">
        <v>87</v>
      </c>
    </row>
    <row r="76" customFormat="false" ht="27.75" hidden="false" customHeight="true" outlineLevel="0" collapsed="false">
      <c r="A76" s="4" t="s">
        <v>96</v>
      </c>
      <c r="B76" s="4"/>
    </row>
    <row r="77" customFormat="false" ht="19.5" hidden="false" customHeight="true" outlineLevel="0" collapsed="false">
      <c r="A77" s="10" t="s">
        <v>76</v>
      </c>
      <c r="B77" s="13" t="s">
        <v>77</v>
      </c>
    </row>
    <row r="78" customFormat="false" ht="19.5" hidden="false" customHeight="true" outlineLevel="0" collapsed="false">
      <c r="A78" s="10" t="s">
        <v>78</v>
      </c>
      <c r="B78" s="13" t="s">
        <v>79</v>
      </c>
    </row>
    <row r="79" customFormat="false" ht="99.75" hidden="false" customHeight="true" outlineLevel="0" collapsed="false">
      <c r="A79" s="10" t="s">
        <v>80</v>
      </c>
      <c r="B79" s="13" t="s">
        <v>81</v>
      </c>
    </row>
    <row r="80" customFormat="false" ht="147.75" hidden="false" customHeight="true" outlineLevel="0" collapsed="false">
      <c r="A80" s="10" t="s">
        <v>82</v>
      </c>
      <c r="B80" s="13" t="s">
        <v>83</v>
      </c>
    </row>
    <row r="81" customFormat="false" ht="84" hidden="false" customHeight="true" outlineLevel="0" collapsed="false">
      <c r="A81" s="10" t="s">
        <v>84</v>
      </c>
      <c r="B81" s="13" t="s">
        <v>85</v>
      </c>
    </row>
    <row r="82" customFormat="false" ht="19.5" hidden="false" customHeight="true" outlineLevel="0" collapsed="false">
      <c r="A82" s="10" t="s">
        <v>86</v>
      </c>
      <c r="B82" s="13" t="s">
        <v>87</v>
      </c>
    </row>
  </sheetData>
  <mergeCells count="12">
    <mergeCell ref="A1:B1"/>
    <mergeCell ref="A2:B2"/>
    <mergeCell ref="A4:B4"/>
    <mergeCell ref="A12:B12"/>
    <mergeCell ref="A20:B20"/>
    <mergeCell ref="A28:B28"/>
    <mergeCell ref="A36:B36"/>
    <mergeCell ref="A44:B44"/>
    <mergeCell ref="A52:B52"/>
    <mergeCell ref="A60:B60"/>
    <mergeCell ref="A68:B68"/>
    <mergeCell ref="A76:B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80"/>
  </cols>
  <sheetData>
    <row r="1" customFormat="false" ht="36" hidden="false" customHeight="true" outlineLevel="0" collapsed="false">
      <c r="A1" s="2" t="s">
        <v>97</v>
      </c>
      <c r="B1" s="2"/>
    </row>
    <row r="2" customFormat="false" ht="21.75" hidden="false" customHeight="true" outlineLevel="0" collapsed="false">
      <c r="A2" s="3" t="s">
        <v>98</v>
      </c>
      <c r="B2" s="3"/>
    </row>
    <row r="4" customFormat="false" ht="25.5" hidden="false" customHeight="true" outlineLevel="0" collapsed="false">
      <c r="A4" s="4" t="s">
        <v>99</v>
      </c>
      <c r="B4" s="4"/>
    </row>
    <row r="5" customFormat="false" ht="18" hidden="false" customHeight="true" outlineLevel="0" collapsed="false">
      <c r="A5" s="10" t="s">
        <v>100</v>
      </c>
      <c r="B5" s="14" t="s">
        <v>101</v>
      </c>
    </row>
    <row r="6" customFormat="false" ht="144" hidden="false" customHeight="true" outlineLevel="0" collapsed="false">
      <c r="A6" s="10" t="s">
        <v>102</v>
      </c>
      <c r="B6" s="13" t="s">
        <v>103</v>
      </c>
    </row>
    <row r="8" customFormat="false" ht="25.5" hidden="false" customHeight="true" outlineLevel="0" collapsed="false">
      <c r="A8" s="4" t="s">
        <v>104</v>
      </c>
      <c r="B8" s="4"/>
    </row>
    <row r="9" customFormat="false" ht="18" hidden="false" customHeight="true" outlineLevel="0" collapsed="false">
      <c r="A9" s="10" t="s">
        <v>100</v>
      </c>
      <c r="B9" s="14" t="s">
        <v>105</v>
      </c>
    </row>
    <row r="10" customFormat="false" ht="207.75" hidden="false" customHeight="true" outlineLevel="0" collapsed="false">
      <c r="A10" s="10" t="s">
        <v>102</v>
      </c>
      <c r="B10" s="13" t="s">
        <v>106</v>
      </c>
    </row>
    <row r="12" customFormat="false" ht="25.5" hidden="false" customHeight="true" outlineLevel="0" collapsed="false">
      <c r="A12" s="4" t="s">
        <v>107</v>
      </c>
      <c r="B12" s="4"/>
    </row>
    <row r="13" customFormat="false" ht="18" hidden="false" customHeight="true" outlineLevel="0" collapsed="false">
      <c r="A13" s="10" t="s">
        <v>100</v>
      </c>
      <c r="B13" s="14" t="s">
        <v>108</v>
      </c>
    </row>
    <row r="14" customFormat="false" ht="288" hidden="false" customHeight="true" outlineLevel="0" collapsed="false">
      <c r="A14" s="10" t="s">
        <v>102</v>
      </c>
      <c r="B14" s="13" t="s">
        <v>109</v>
      </c>
    </row>
    <row r="16" customFormat="false" ht="25.5" hidden="false" customHeight="true" outlineLevel="0" collapsed="false">
      <c r="A16" s="4" t="s">
        <v>110</v>
      </c>
      <c r="B16" s="4"/>
    </row>
    <row r="17" customFormat="false" ht="18" hidden="false" customHeight="true" outlineLevel="0" collapsed="false">
      <c r="A17" s="10" t="s">
        <v>100</v>
      </c>
      <c r="B17" s="14" t="s">
        <v>111</v>
      </c>
    </row>
    <row r="18" customFormat="false" ht="127.5" hidden="false" customHeight="true" outlineLevel="0" collapsed="false">
      <c r="A18" s="10" t="s">
        <v>102</v>
      </c>
      <c r="B18" s="13" t="s">
        <v>112</v>
      </c>
    </row>
    <row r="20" customFormat="false" ht="25.5" hidden="false" customHeight="true" outlineLevel="0" collapsed="false">
      <c r="A20" s="4" t="s">
        <v>113</v>
      </c>
      <c r="B20" s="4"/>
    </row>
    <row r="21" customFormat="false" ht="18" hidden="false" customHeight="true" outlineLevel="0" collapsed="false">
      <c r="A21" s="10" t="s">
        <v>100</v>
      </c>
      <c r="B21" s="14" t="s">
        <v>114</v>
      </c>
    </row>
    <row r="22" customFormat="false" ht="159.75" hidden="false" customHeight="true" outlineLevel="0" collapsed="false">
      <c r="A22" s="10" t="s">
        <v>102</v>
      </c>
      <c r="B22" s="13" t="s">
        <v>115</v>
      </c>
    </row>
    <row r="24" customFormat="false" ht="25.5" hidden="false" customHeight="true" outlineLevel="0" collapsed="false">
      <c r="A24" s="4" t="s">
        <v>116</v>
      </c>
      <c r="B24" s="4"/>
    </row>
    <row r="25" customFormat="false" ht="18" hidden="false" customHeight="true" outlineLevel="0" collapsed="false">
      <c r="A25" s="10" t="s">
        <v>100</v>
      </c>
      <c r="B25" s="14" t="s">
        <v>117</v>
      </c>
    </row>
    <row r="26" customFormat="false" ht="159.75" hidden="false" customHeight="true" outlineLevel="0" collapsed="false">
      <c r="A26" s="10" t="s">
        <v>102</v>
      </c>
      <c r="B26" s="13" t="s">
        <v>118</v>
      </c>
    </row>
    <row r="28" customFormat="false" ht="25.5" hidden="false" customHeight="true" outlineLevel="0" collapsed="false">
      <c r="A28" s="4" t="s">
        <v>119</v>
      </c>
      <c r="B28" s="4"/>
    </row>
    <row r="29" customFormat="false" ht="18" hidden="false" customHeight="true" outlineLevel="0" collapsed="false">
      <c r="A29" s="10" t="s">
        <v>100</v>
      </c>
      <c r="B29" s="14" t="s">
        <v>120</v>
      </c>
    </row>
    <row r="30" customFormat="false" ht="207.75" hidden="false" customHeight="true" outlineLevel="0" collapsed="false">
      <c r="A30" s="10" t="s">
        <v>102</v>
      </c>
      <c r="B30" s="13" t="s">
        <v>121</v>
      </c>
    </row>
    <row r="32" customFormat="false" ht="25.5" hidden="false" customHeight="true" outlineLevel="0" collapsed="false">
      <c r="A32" s="4" t="s">
        <v>122</v>
      </c>
      <c r="B32" s="4"/>
    </row>
    <row r="33" customFormat="false" ht="18" hidden="false" customHeight="true" outlineLevel="0" collapsed="false">
      <c r="A33" s="10" t="s">
        <v>100</v>
      </c>
      <c r="B33" s="14" t="s">
        <v>123</v>
      </c>
    </row>
    <row r="34" customFormat="false" ht="240" hidden="false" customHeight="true" outlineLevel="0" collapsed="false">
      <c r="A34" s="10" t="s">
        <v>102</v>
      </c>
      <c r="B34" s="13" t="s">
        <v>124</v>
      </c>
    </row>
    <row r="36" customFormat="false" ht="25.5" hidden="false" customHeight="true" outlineLevel="0" collapsed="false">
      <c r="A36" s="4" t="s">
        <v>125</v>
      </c>
      <c r="B36" s="4"/>
    </row>
    <row r="37" customFormat="false" ht="18" hidden="false" customHeight="true" outlineLevel="0" collapsed="false">
      <c r="A37" s="10" t="s">
        <v>100</v>
      </c>
      <c r="B37" s="14" t="s">
        <v>126</v>
      </c>
    </row>
    <row r="38" customFormat="false" ht="159.75" hidden="false" customHeight="true" outlineLevel="0" collapsed="false">
      <c r="A38" s="10" t="s">
        <v>102</v>
      </c>
      <c r="B38" s="13" t="s">
        <v>127</v>
      </c>
    </row>
    <row r="40" customFormat="false" ht="25.5" hidden="false" customHeight="true" outlineLevel="0" collapsed="false">
      <c r="A40" s="4" t="s">
        <v>128</v>
      </c>
      <c r="B40" s="4"/>
    </row>
    <row r="41" customFormat="false" ht="18" hidden="false" customHeight="true" outlineLevel="0" collapsed="false">
      <c r="A41" s="10" t="s">
        <v>100</v>
      </c>
      <c r="B41" s="14" t="s">
        <v>129</v>
      </c>
    </row>
    <row r="42" customFormat="false" ht="240" hidden="false" customHeight="true" outlineLevel="0" collapsed="false">
      <c r="A42" s="10" t="s">
        <v>102</v>
      </c>
      <c r="B42" s="13" t="s">
        <v>130</v>
      </c>
    </row>
  </sheetData>
  <mergeCells count="12">
    <mergeCell ref="A1:B1"/>
    <mergeCell ref="A2:B2"/>
    <mergeCell ref="A4:B4"/>
    <mergeCell ref="A8:B8"/>
    <mergeCell ref="A12:B12"/>
    <mergeCell ref="A16:B16"/>
    <mergeCell ref="A20:B20"/>
    <mergeCell ref="A24:B24"/>
    <mergeCell ref="A28:B28"/>
    <mergeCell ref="A32:B32"/>
    <mergeCell ref="A36:B36"/>
    <mergeCell ref="A40:B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52"/>
    <col collapsed="false" customWidth="true" hidden="false" outlineLevel="0" max="4" min="4" style="1" width="20"/>
    <col collapsed="false" customWidth="true" hidden="false" outlineLevel="0" max="5" min="5" style="1" width="18"/>
  </cols>
  <sheetData>
    <row r="1" customFormat="false" ht="36" hidden="false" customHeight="true" outlineLevel="0" collapsed="false">
      <c r="A1" s="2" t="s">
        <v>131</v>
      </c>
      <c r="B1" s="2"/>
      <c r="C1" s="2"/>
      <c r="D1" s="2"/>
      <c r="E1" s="2"/>
    </row>
    <row r="2" customFormat="false" ht="21.75" hidden="false" customHeight="true" outlineLevel="0" collapsed="false">
      <c r="A2" s="3" t="s">
        <v>132</v>
      </c>
      <c r="B2" s="3"/>
      <c r="C2" s="3"/>
      <c r="D2" s="3"/>
      <c r="E2" s="3"/>
    </row>
    <row r="3" customFormat="false" ht="24" hidden="false" customHeight="true" outlineLevel="0" collapsed="false">
      <c r="A3" s="5" t="s">
        <v>133</v>
      </c>
      <c r="B3" s="5" t="s">
        <v>134</v>
      </c>
      <c r="C3" s="5" t="s">
        <v>135</v>
      </c>
      <c r="D3" s="5" t="s">
        <v>136</v>
      </c>
      <c r="E3" s="5" t="s">
        <v>137</v>
      </c>
    </row>
    <row r="4" customFormat="false" ht="24" hidden="false" customHeight="true" outlineLevel="0" collapsed="false">
      <c r="A4" s="4" t="s">
        <v>138</v>
      </c>
      <c r="B4" s="4"/>
      <c r="C4" s="4"/>
      <c r="D4" s="4"/>
      <c r="E4" s="4"/>
    </row>
    <row r="5" customFormat="false" ht="19.5" hidden="false" customHeight="true" outlineLevel="0" collapsed="false">
      <c r="A5" s="15" t="s">
        <v>139</v>
      </c>
      <c r="B5" s="16" t="s">
        <v>140</v>
      </c>
      <c r="C5" s="9" t="s">
        <v>141</v>
      </c>
      <c r="D5" s="17" t="s">
        <v>142</v>
      </c>
      <c r="E5" s="7"/>
    </row>
    <row r="6" customFormat="false" ht="19.5" hidden="false" customHeight="true" outlineLevel="0" collapsed="false">
      <c r="A6" s="15" t="s">
        <v>143</v>
      </c>
      <c r="B6" s="16" t="s">
        <v>140</v>
      </c>
      <c r="C6" s="9" t="s">
        <v>144</v>
      </c>
      <c r="D6" s="17" t="s">
        <v>145</v>
      </c>
      <c r="E6" s="7"/>
    </row>
    <row r="7" customFormat="false" ht="19.5" hidden="false" customHeight="true" outlineLevel="0" collapsed="false">
      <c r="A7" s="15" t="s">
        <v>146</v>
      </c>
      <c r="B7" s="16" t="s">
        <v>140</v>
      </c>
      <c r="C7" s="9" t="s">
        <v>147</v>
      </c>
      <c r="D7" s="17" t="s">
        <v>148</v>
      </c>
      <c r="E7" s="7"/>
    </row>
    <row r="8" customFormat="false" ht="19.5" hidden="false" customHeight="true" outlineLevel="0" collapsed="false">
      <c r="A8" s="15" t="s">
        <v>149</v>
      </c>
      <c r="B8" s="16" t="s">
        <v>140</v>
      </c>
      <c r="C8" s="9" t="s">
        <v>150</v>
      </c>
      <c r="D8" s="17" t="s">
        <v>151</v>
      </c>
      <c r="E8" s="7"/>
    </row>
    <row r="9" customFormat="false" ht="19.5" hidden="false" customHeight="true" outlineLevel="0" collapsed="false">
      <c r="A9" s="15" t="s">
        <v>152</v>
      </c>
      <c r="B9" s="16" t="s">
        <v>140</v>
      </c>
      <c r="C9" s="9" t="s">
        <v>153</v>
      </c>
      <c r="D9" s="17" t="s">
        <v>148</v>
      </c>
      <c r="E9" s="7"/>
    </row>
    <row r="10" customFormat="false" ht="19.5" hidden="false" customHeight="true" outlineLevel="0" collapsed="false">
      <c r="A10" s="15" t="s">
        <v>154</v>
      </c>
      <c r="B10" s="16" t="s">
        <v>140</v>
      </c>
      <c r="C10" s="9" t="s">
        <v>155</v>
      </c>
      <c r="D10" s="17" t="s">
        <v>156</v>
      </c>
      <c r="E10" s="7"/>
    </row>
    <row r="12" customFormat="false" ht="24" hidden="false" customHeight="true" outlineLevel="0" collapsed="false">
      <c r="A12" s="4" t="s">
        <v>157</v>
      </c>
      <c r="B12" s="4"/>
      <c r="C12" s="4"/>
      <c r="D12" s="4"/>
      <c r="E12" s="4"/>
    </row>
    <row r="13" customFormat="false" ht="19.5" hidden="false" customHeight="true" outlineLevel="0" collapsed="false">
      <c r="A13" s="15" t="s">
        <v>158</v>
      </c>
      <c r="B13" s="16" t="s">
        <v>140</v>
      </c>
      <c r="C13" s="9" t="s">
        <v>159</v>
      </c>
      <c r="D13" s="17" t="s">
        <v>160</v>
      </c>
      <c r="E13" s="7"/>
    </row>
    <row r="14" customFormat="false" ht="19.5" hidden="false" customHeight="true" outlineLevel="0" collapsed="false">
      <c r="A14" s="15" t="s">
        <v>161</v>
      </c>
      <c r="B14" s="16" t="s">
        <v>140</v>
      </c>
      <c r="C14" s="9" t="s">
        <v>162</v>
      </c>
      <c r="D14" s="17" t="s">
        <v>160</v>
      </c>
      <c r="E14" s="7"/>
    </row>
    <row r="15" customFormat="false" ht="19.5" hidden="false" customHeight="true" outlineLevel="0" collapsed="false">
      <c r="A15" s="15" t="s">
        <v>163</v>
      </c>
      <c r="B15" s="16" t="s">
        <v>140</v>
      </c>
      <c r="C15" s="9" t="s">
        <v>164</v>
      </c>
      <c r="D15" s="17" t="s">
        <v>165</v>
      </c>
      <c r="E15" s="7"/>
    </row>
    <row r="16" customFormat="false" ht="19.5" hidden="false" customHeight="true" outlineLevel="0" collapsed="false">
      <c r="A16" s="15" t="s">
        <v>166</v>
      </c>
      <c r="B16" s="16" t="s">
        <v>140</v>
      </c>
      <c r="C16" s="9" t="s">
        <v>167</v>
      </c>
      <c r="D16" s="17" t="s">
        <v>160</v>
      </c>
      <c r="E16" s="7"/>
    </row>
    <row r="17" customFormat="false" ht="19.5" hidden="false" customHeight="true" outlineLevel="0" collapsed="false">
      <c r="A17" s="15" t="s">
        <v>168</v>
      </c>
      <c r="B17" s="16" t="s">
        <v>140</v>
      </c>
      <c r="C17" s="9" t="s">
        <v>169</v>
      </c>
      <c r="D17" s="17" t="s">
        <v>160</v>
      </c>
      <c r="E17" s="7"/>
    </row>
    <row r="18" customFormat="false" ht="19.5" hidden="false" customHeight="true" outlineLevel="0" collapsed="false">
      <c r="A18" s="15" t="s">
        <v>170</v>
      </c>
      <c r="B18" s="16" t="s">
        <v>140</v>
      </c>
      <c r="C18" s="9" t="s">
        <v>171</v>
      </c>
      <c r="D18" s="17" t="s">
        <v>160</v>
      </c>
      <c r="E18" s="7"/>
    </row>
    <row r="20" customFormat="false" ht="24" hidden="false" customHeight="true" outlineLevel="0" collapsed="false">
      <c r="A20" s="4" t="s">
        <v>172</v>
      </c>
      <c r="B20" s="4"/>
      <c r="C20" s="4"/>
      <c r="D20" s="4"/>
      <c r="E20" s="4"/>
    </row>
    <row r="21" customFormat="false" ht="19.5" hidden="false" customHeight="true" outlineLevel="0" collapsed="false">
      <c r="A21" s="15" t="s">
        <v>173</v>
      </c>
      <c r="B21" s="16" t="s">
        <v>140</v>
      </c>
      <c r="C21" s="9" t="s">
        <v>174</v>
      </c>
      <c r="D21" s="17" t="s">
        <v>160</v>
      </c>
      <c r="E21" s="7"/>
    </row>
    <row r="22" customFormat="false" ht="19.5" hidden="false" customHeight="true" outlineLevel="0" collapsed="false">
      <c r="A22" s="15" t="s">
        <v>175</v>
      </c>
      <c r="B22" s="16" t="s">
        <v>140</v>
      </c>
      <c r="C22" s="9" t="s">
        <v>176</v>
      </c>
      <c r="D22" s="17" t="s">
        <v>160</v>
      </c>
      <c r="E22" s="7"/>
    </row>
    <row r="23" customFormat="false" ht="19.5" hidden="false" customHeight="true" outlineLevel="0" collapsed="false">
      <c r="A23" s="15" t="s">
        <v>177</v>
      </c>
      <c r="B23" s="16" t="s">
        <v>140</v>
      </c>
      <c r="C23" s="9" t="s">
        <v>178</v>
      </c>
      <c r="D23" s="17" t="s">
        <v>160</v>
      </c>
      <c r="E23" s="7"/>
    </row>
    <row r="24" customFormat="false" ht="19.5" hidden="false" customHeight="true" outlineLevel="0" collapsed="false">
      <c r="A24" s="15" t="s">
        <v>179</v>
      </c>
      <c r="B24" s="16" t="s">
        <v>140</v>
      </c>
      <c r="C24" s="9" t="s">
        <v>180</v>
      </c>
      <c r="D24" s="17" t="s">
        <v>160</v>
      </c>
      <c r="E24" s="7"/>
    </row>
    <row r="25" customFormat="false" ht="19.5" hidden="false" customHeight="true" outlineLevel="0" collapsed="false">
      <c r="A25" s="15" t="s">
        <v>181</v>
      </c>
      <c r="B25" s="16" t="s">
        <v>140</v>
      </c>
      <c r="C25" s="9" t="s">
        <v>182</v>
      </c>
      <c r="D25" s="17" t="s">
        <v>160</v>
      </c>
      <c r="E25" s="7"/>
    </row>
    <row r="26" customFormat="false" ht="19.5" hidden="false" customHeight="true" outlineLevel="0" collapsed="false">
      <c r="A26" s="15" t="s">
        <v>183</v>
      </c>
      <c r="B26" s="16" t="s">
        <v>140</v>
      </c>
      <c r="C26" s="9" t="s">
        <v>184</v>
      </c>
      <c r="D26" s="17" t="s">
        <v>185</v>
      </c>
      <c r="E26" s="7"/>
    </row>
    <row r="27" customFormat="false" ht="19.5" hidden="false" customHeight="true" outlineLevel="0" collapsed="false">
      <c r="A27" s="15" t="s">
        <v>186</v>
      </c>
      <c r="B27" s="16" t="s">
        <v>140</v>
      </c>
      <c r="C27" s="9" t="s">
        <v>187</v>
      </c>
      <c r="D27" s="17" t="s">
        <v>160</v>
      </c>
      <c r="E27" s="7"/>
    </row>
    <row r="29" customFormat="false" ht="24" hidden="false" customHeight="true" outlineLevel="0" collapsed="false">
      <c r="A29" s="4" t="s">
        <v>188</v>
      </c>
      <c r="B29" s="4"/>
      <c r="C29" s="4"/>
      <c r="D29" s="4"/>
      <c r="E29" s="4"/>
    </row>
    <row r="30" customFormat="false" ht="19.5" hidden="false" customHeight="true" outlineLevel="0" collapsed="false">
      <c r="A30" s="15" t="s">
        <v>189</v>
      </c>
      <c r="B30" s="16" t="s">
        <v>140</v>
      </c>
      <c r="C30" s="9" t="s">
        <v>190</v>
      </c>
      <c r="D30" s="17" t="s">
        <v>160</v>
      </c>
      <c r="E30" s="7"/>
    </row>
    <row r="31" customFormat="false" ht="19.5" hidden="false" customHeight="true" outlineLevel="0" collapsed="false">
      <c r="A31" s="15" t="s">
        <v>191</v>
      </c>
      <c r="B31" s="16" t="s">
        <v>140</v>
      </c>
      <c r="C31" s="9" t="s">
        <v>192</v>
      </c>
      <c r="D31" s="17" t="s">
        <v>160</v>
      </c>
      <c r="E31" s="7"/>
    </row>
    <row r="32" customFormat="false" ht="19.5" hidden="false" customHeight="true" outlineLevel="0" collapsed="false">
      <c r="A32" s="15" t="s">
        <v>193</v>
      </c>
      <c r="B32" s="16" t="s">
        <v>140</v>
      </c>
      <c r="C32" s="9" t="s">
        <v>194</v>
      </c>
      <c r="D32" s="17" t="s">
        <v>148</v>
      </c>
      <c r="E32" s="7"/>
    </row>
    <row r="33" customFormat="false" ht="19.5" hidden="false" customHeight="true" outlineLevel="0" collapsed="false">
      <c r="A33" s="15" t="s">
        <v>195</v>
      </c>
      <c r="B33" s="16" t="s">
        <v>140</v>
      </c>
      <c r="C33" s="9" t="s">
        <v>196</v>
      </c>
      <c r="D33" s="17" t="s">
        <v>160</v>
      </c>
      <c r="E33" s="7"/>
    </row>
    <row r="34" customFormat="false" ht="19.5" hidden="false" customHeight="true" outlineLevel="0" collapsed="false">
      <c r="A34" s="15" t="s">
        <v>197</v>
      </c>
      <c r="B34" s="16" t="s">
        <v>140</v>
      </c>
      <c r="C34" s="9" t="s">
        <v>198</v>
      </c>
      <c r="D34" s="17" t="s">
        <v>199</v>
      </c>
      <c r="E34" s="7"/>
    </row>
    <row r="35" customFormat="false" ht="19.5" hidden="false" customHeight="true" outlineLevel="0" collapsed="false">
      <c r="A35" s="15" t="s">
        <v>200</v>
      </c>
      <c r="B35" s="16" t="s">
        <v>140</v>
      </c>
      <c r="C35" s="9" t="s">
        <v>201</v>
      </c>
      <c r="D35" s="17" t="s">
        <v>160</v>
      </c>
      <c r="E35" s="7"/>
    </row>
    <row r="36" customFormat="false" ht="19.5" hidden="false" customHeight="true" outlineLevel="0" collapsed="false">
      <c r="A36" s="15" t="s">
        <v>202</v>
      </c>
      <c r="B36" s="16" t="s">
        <v>140</v>
      </c>
      <c r="C36" s="9" t="s">
        <v>203</v>
      </c>
      <c r="D36" s="17" t="s">
        <v>185</v>
      </c>
      <c r="E36" s="7"/>
    </row>
    <row r="37" customFormat="false" ht="19.5" hidden="false" customHeight="true" outlineLevel="0" collapsed="false">
      <c r="A37" s="15" t="s">
        <v>204</v>
      </c>
      <c r="B37" s="16" t="s">
        <v>140</v>
      </c>
      <c r="C37" s="9" t="s">
        <v>205</v>
      </c>
      <c r="D37" s="17" t="s">
        <v>206</v>
      </c>
      <c r="E37" s="7"/>
    </row>
    <row r="38" customFormat="false" ht="19.5" hidden="false" customHeight="true" outlineLevel="0" collapsed="false">
      <c r="A38" s="15" t="s">
        <v>207</v>
      </c>
      <c r="B38" s="16" t="s">
        <v>140</v>
      </c>
      <c r="C38" s="9" t="s">
        <v>208</v>
      </c>
      <c r="D38" s="17" t="s">
        <v>148</v>
      </c>
      <c r="E38" s="7"/>
    </row>
    <row r="39" customFormat="false" ht="19.5" hidden="false" customHeight="true" outlineLevel="0" collapsed="false">
      <c r="A39" s="15" t="s">
        <v>209</v>
      </c>
      <c r="B39" s="16" t="s">
        <v>140</v>
      </c>
      <c r="C39" s="9" t="s">
        <v>187</v>
      </c>
      <c r="D39" s="17" t="s">
        <v>160</v>
      </c>
      <c r="E39" s="7"/>
    </row>
    <row r="41" customFormat="false" ht="24" hidden="false" customHeight="true" outlineLevel="0" collapsed="false">
      <c r="A41" s="4" t="s">
        <v>210</v>
      </c>
      <c r="B41" s="4"/>
      <c r="C41" s="4"/>
      <c r="D41" s="4"/>
      <c r="E41" s="4"/>
    </row>
    <row r="42" customFormat="false" ht="19.5" hidden="false" customHeight="true" outlineLevel="0" collapsed="false">
      <c r="A42" s="15" t="s">
        <v>211</v>
      </c>
      <c r="B42" s="16" t="s">
        <v>140</v>
      </c>
      <c r="C42" s="9" t="s">
        <v>212</v>
      </c>
      <c r="D42" s="17" t="s">
        <v>160</v>
      </c>
      <c r="E42" s="7"/>
    </row>
    <row r="43" customFormat="false" ht="19.5" hidden="false" customHeight="true" outlineLevel="0" collapsed="false">
      <c r="A43" s="15" t="s">
        <v>213</v>
      </c>
      <c r="B43" s="16" t="s">
        <v>140</v>
      </c>
      <c r="C43" s="9" t="s">
        <v>214</v>
      </c>
      <c r="D43" s="17" t="s">
        <v>215</v>
      </c>
      <c r="E43" s="7"/>
    </row>
    <row r="44" customFormat="false" ht="19.5" hidden="false" customHeight="true" outlineLevel="0" collapsed="false">
      <c r="A44" s="15" t="s">
        <v>216</v>
      </c>
      <c r="B44" s="16" t="s">
        <v>140</v>
      </c>
      <c r="C44" s="9" t="s">
        <v>217</v>
      </c>
      <c r="D44" s="17" t="s">
        <v>156</v>
      </c>
      <c r="E44" s="7"/>
    </row>
    <row r="45" customFormat="false" ht="19.5" hidden="false" customHeight="true" outlineLevel="0" collapsed="false">
      <c r="A45" s="15" t="s">
        <v>218</v>
      </c>
      <c r="B45" s="16" t="s">
        <v>140</v>
      </c>
      <c r="C45" s="9" t="s">
        <v>219</v>
      </c>
      <c r="D45" s="17" t="s">
        <v>156</v>
      </c>
      <c r="E45" s="7"/>
    </row>
    <row r="46" customFormat="false" ht="19.5" hidden="false" customHeight="true" outlineLevel="0" collapsed="false">
      <c r="A46" s="15" t="s">
        <v>220</v>
      </c>
      <c r="B46" s="16" t="s">
        <v>140</v>
      </c>
      <c r="C46" s="9" t="s">
        <v>221</v>
      </c>
      <c r="D46" s="17" t="s">
        <v>148</v>
      </c>
      <c r="E46" s="7"/>
    </row>
    <row r="48" customFormat="false" ht="24" hidden="false" customHeight="true" outlineLevel="0" collapsed="false">
      <c r="A48" s="4" t="s">
        <v>222</v>
      </c>
      <c r="B48" s="4"/>
      <c r="C48" s="4"/>
      <c r="D48" s="4"/>
      <c r="E48" s="4"/>
    </row>
    <row r="49" customFormat="false" ht="19.5" hidden="false" customHeight="true" outlineLevel="0" collapsed="false">
      <c r="A49" s="15" t="s">
        <v>223</v>
      </c>
      <c r="B49" s="16" t="s">
        <v>140</v>
      </c>
      <c r="C49" s="9" t="s">
        <v>224</v>
      </c>
      <c r="D49" s="17" t="s">
        <v>156</v>
      </c>
      <c r="E49" s="7"/>
    </row>
    <row r="50" customFormat="false" ht="19.5" hidden="false" customHeight="true" outlineLevel="0" collapsed="false">
      <c r="A50" s="15" t="s">
        <v>225</v>
      </c>
      <c r="B50" s="16" t="s">
        <v>140</v>
      </c>
      <c r="C50" s="9" t="s">
        <v>226</v>
      </c>
      <c r="D50" s="17" t="s">
        <v>215</v>
      </c>
      <c r="E50" s="7"/>
    </row>
    <row r="51" customFormat="false" ht="19.5" hidden="false" customHeight="true" outlineLevel="0" collapsed="false">
      <c r="A51" s="15" t="s">
        <v>227</v>
      </c>
      <c r="B51" s="16" t="s">
        <v>140</v>
      </c>
      <c r="C51" s="9" t="s">
        <v>228</v>
      </c>
      <c r="D51" s="17" t="s">
        <v>156</v>
      </c>
      <c r="E51" s="7"/>
    </row>
    <row r="52" customFormat="false" ht="19.5" hidden="false" customHeight="true" outlineLevel="0" collapsed="false">
      <c r="A52" s="15" t="s">
        <v>229</v>
      </c>
      <c r="B52" s="16" t="s">
        <v>140</v>
      </c>
      <c r="C52" s="9" t="s">
        <v>230</v>
      </c>
      <c r="D52" s="17" t="s">
        <v>160</v>
      </c>
      <c r="E52" s="7"/>
    </row>
    <row r="53" customFormat="false" ht="19.5" hidden="false" customHeight="true" outlineLevel="0" collapsed="false">
      <c r="A53" s="15" t="s">
        <v>231</v>
      </c>
      <c r="B53" s="16" t="s">
        <v>140</v>
      </c>
      <c r="C53" s="9" t="s">
        <v>232</v>
      </c>
      <c r="D53" s="17" t="s">
        <v>185</v>
      </c>
      <c r="E53" s="7"/>
    </row>
    <row r="54" customFormat="false" ht="19.5" hidden="false" customHeight="true" outlineLevel="0" collapsed="false">
      <c r="A54" s="15" t="s">
        <v>233</v>
      </c>
      <c r="B54" s="16" t="s">
        <v>140</v>
      </c>
      <c r="C54" s="9" t="s">
        <v>234</v>
      </c>
      <c r="D54" s="17" t="s">
        <v>156</v>
      </c>
      <c r="E54" s="7"/>
    </row>
    <row r="55" customFormat="false" ht="19.5" hidden="false" customHeight="true" outlineLevel="0" collapsed="false">
      <c r="A55" s="15" t="s">
        <v>235</v>
      </c>
      <c r="B55" s="16" t="s">
        <v>140</v>
      </c>
      <c r="C55" s="9" t="s">
        <v>236</v>
      </c>
      <c r="D55" s="17" t="s">
        <v>160</v>
      </c>
      <c r="E55" s="7"/>
    </row>
    <row r="57" customFormat="false" ht="24" hidden="false" customHeight="true" outlineLevel="0" collapsed="false">
      <c r="A57" s="4" t="s">
        <v>237</v>
      </c>
      <c r="B57" s="4"/>
      <c r="C57" s="4"/>
      <c r="D57" s="4"/>
      <c r="E57" s="4"/>
    </row>
    <row r="58" customFormat="false" ht="19.5" hidden="false" customHeight="true" outlineLevel="0" collapsed="false">
      <c r="A58" s="15" t="s">
        <v>238</v>
      </c>
      <c r="B58" s="16" t="s">
        <v>140</v>
      </c>
      <c r="C58" s="9" t="s">
        <v>239</v>
      </c>
      <c r="D58" s="17" t="s">
        <v>185</v>
      </c>
      <c r="E58" s="7"/>
    </row>
    <row r="59" customFormat="false" ht="19.5" hidden="false" customHeight="true" outlineLevel="0" collapsed="false">
      <c r="A59" s="15" t="s">
        <v>240</v>
      </c>
      <c r="B59" s="16" t="s">
        <v>140</v>
      </c>
      <c r="C59" s="9" t="s">
        <v>241</v>
      </c>
      <c r="D59" s="17" t="s">
        <v>242</v>
      </c>
      <c r="E59" s="7"/>
    </row>
    <row r="60" customFormat="false" ht="19.5" hidden="false" customHeight="true" outlineLevel="0" collapsed="false">
      <c r="A60" s="15" t="s">
        <v>243</v>
      </c>
      <c r="B60" s="16" t="s">
        <v>140</v>
      </c>
      <c r="C60" s="9" t="s">
        <v>244</v>
      </c>
      <c r="D60" s="17" t="s">
        <v>245</v>
      </c>
      <c r="E60" s="7"/>
    </row>
    <row r="61" customFormat="false" ht="19.5" hidden="false" customHeight="true" outlineLevel="0" collapsed="false">
      <c r="A61" s="15" t="s">
        <v>246</v>
      </c>
      <c r="B61" s="16" t="s">
        <v>140</v>
      </c>
      <c r="C61" s="9" t="s">
        <v>247</v>
      </c>
      <c r="D61" s="17" t="s">
        <v>156</v>
      </c>
      <c r="E61" s="7"/>
    </row>
    <row r="62" customFormat="false" ht="19.5" hidden="false" customHeight="true" outlineLevel="0" collapsed="false">
      <c r="A62" s="15" t="s">
        <v>248</v>
      </c>
      <c r="B62" s="16" t="s">
        <v>140</v>
      </c>
      <c r="C62" s="9" t="s">
        <v>249</v>
      </c>
      <c r="D62" s="17" t="s">
        <v>148</v>
      </c>
      <c r="E62" s="7"/>
    </row>
    <row r="63" customFormat="false" ht="19.5" hidden="false" customHeight="true" outlineLevel="0" collapsed="false">
      <c r="A63" s="15" t="s">
        <v>250</v>
      </c>
      <c r="B63" s="16" t="s">
        <v>140</v>
      </c>
      <c r="C63" s="9" t="s">
        <v>251</v>
      </c>
      <c r="D63" s="17" t="s">
        <v>148</v>
      </c>
      <c r="E63" s="7"/>
    </row>
  </sheetData>
  <mergeCells count="9">
    <mergeCell ref="A1:E1"/>
    <mergeCell ref="A2:E2"/>
    <mergeCell ref="A4:E4"/>
    <mergeCell ref="A12:E12"/>
    <mergeCell ref="A20:E20"/>
    <mergeCell ref="A29:E29"/>
    <mergeCell ref="A41:E41"/>
    <mergeCell ref="A48:E48"/>
    <mergeCell ref="A57:E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4" min="2" style="1" width="20"/>
    <col collapsed="false" customWidth="true" hidden="false" outlineLevel="0" max="5" min="5" style="1" width="24"/>
  </cols>
  <sheetData>
    <row r="1" customFormat="false" ht="36" hidden="false" customHeight="true" outlineLevel="0" collapsed="false">
      <c r="A1" s="2" t="s">
        <v>252</v>
      </c>
      <c r="B1" s="2"/>
      <c r="C1" s="2"/>
      <c r="D1" s="2"/>
      <c r="E1" s="2"/>
    </row>
    <row r="2" customFormat="false" ht="21.75" hidden="false" customHeight="true" outlineLevel="0" collapsed="false">
      <c r="A2" s="3" t="s">
        <v>253</v>
      </c>
      <c r="B2" s="3"/>
      <c r="C2" s="3"/>
      <c r="D2" s="3"/>
      <c r="E2" s="3"/>
    </row>
    <row r="3" customFormat="false" ht="21.75" hidden="false" customHeight="true" outlineLevel="0" collapsed="false">
      <c r="A3" s="5" t="s">
        <v>254</v>
      </c>
      <c r="B3" s="5" t="s">
        <v>255</v>
      </c>
      <c r="C3" s="5" t="s">
        <v>256</v>
      </c>
      <c r="D3" s="5" t="s">
        <v>257</v>
      </c>
      <c r="E3" s="5" t="s">
        <v>8</v>
      </c>
    </row>
    <row r="4" customFormat="false" ht="21.75" hidden="false" customHeight="true" outlineLevel="0" collapsed="false">
      <c r="A4" s="18" t="s">
        <v>258</v>
      </c>
      <c r="B4" s="18"/>
      <c r="C4" s="18"/>
      <c r="D4" s="18"/>
      <c r="E4" s="18"/>
    </row>
    <row r="5" customFormat="false" ht="19.5" hidden="false" customHeight="true" outlineLevel="0" collapsed="false">
      <c r="A5" s="6" t="s">
        <v>259</v>
      </c>
      <c r="B5" s="19" t="s">
        <v>260</v>
      </c>
      <c r="C5" s="19" t="s">
        <v>261</v>
      </c>
      <c r="D5" s="19" t="s">
        <v>262</v>
      </c>
      <c r="E5" s="20"/>
    </row>
    <row r="6" customFormat="false" ht="21.75" hidden="false" customHeight="true" outlineLevel="0" collapsed="false">
      <c r="A6" s="18" t="s">
        <v>263</v>
      </c>
      <c r="B6" s="18"/>
      <c r="C6" s="18"/>
      <c r="D6" s="18"/>
      <c r="E6" s="18"/>
    </row>
    <row r="7" customFormat="false" ht="19.5" hidden="false" customHeight="true" outlineLevel="0" collapsed="false">
      <c r="A7" s="9" t="s">
        <v>264</v>
      </c>
      <c r="B7" s="21" t="n">
        <v>500</v>
      </c>
      <c r="C7" s="21" t="n">
        <v>300</v>
      </c>
      <c r="D7" s="21" t="n">
        <v>200</v>
      </c>
      <c r="E7" s="22" t="s">
        <v>265</v>
      </c>
    </row>
    <row r="8" customFormat="false" ht="19.5" hidden="false" customHeight="true" outlineLevel="0" collapsed="false">
      <c r="A8" s="9" t="s">
        <v>266</v>
      </c>
      <c r="B8" s="21" t="n">
        <v>0</v>
      </c>
      <c r="C8" s="21" t="n">
        <v>5000</v>
      </c>
      <c r="D8" s="21" t="n">
        <v>0</v>
      </c>
      <c r="E8" s="22" t="s">
        <v>267</v>
      </c>
    </row>
    <row r="9" customFormat="false" ht="19.5" hidden="false" customHeight="true" outlineLevel="0" collapsed="false">
      <c r="A9" s="9" t="s">
        <v>268</v>
      </c>
      <c r="B9" s="21" t="n">
        <v>75</v>
      </c>
      <c r="C9" s="21" t="n">
        <v>75</v>
      </c>
      <c r="D9" s="21" t="n">
        <v>75</v>
      </c>
      <c r="E9" s="22" t="s">
        <v>269</v>
      </c>
    </row>
    <row r="10" customFormat="false" ht="19.5" hidden="false" customHeight="true" outlineLevel="0" collapsed="false">
      <c r="A10" s="9" t="s">
        <v>270</v>
      </c>
      <c r="B10" s="21" t="n">
        <v>0</v>
      </c>
      <c r="C10" s="21" t="n">
        <v>100</v>
      </c>
      <c r="D10" s="21" t="n">
        <v>50</v>
      </c>
      <c r="E10" s="22" t="s">
        <v>271</v>
      </c>
    </row>
    <row r="11" customFormat="false" ht="19.5" hidden="false" customHeight="true" outlineLevel="0" collapsed="false">
      <c r="A11" s="9" t="s">
        <v>272</v>
      </c>
      <c r="B11" s="21" t="n">
        <v>0</v>
      </c>
      <c r="C11" s="21" t="n">
        <v>0</v>
      </c>
      <c r="D11" s="21" t="n">
        <v>0</v>
      </c>
      <c r="E11" s="22" t="s">
        <v>273</v>
      </c>
    </row>
    <row r="12" customFormat="false" ht="21.75" hidden="false" customHeight="true" outlineLevel="0" collapsed="false">
      <c r="A12" s="18" t="s">
        <v>274</v>
      </c>
      <c r="B12" s="18"/>
      <c r="C12" s="18"/>
      <c r="D12" s="18"/>
      <c r="E12" s="18"/>
    </row>
    <row r="13" customFormat="false" ht="19.5" hidden="false" customHeight="true" outlineLevel="0" collapsed="false">
      <c r="A13" s="9" t="s">
        <v>275</v>
      </c>
      <c r="B13" s="21" t="n">
        <v>85000</v>
      </c>
      <c r="C13" s="21" t="n">
        <v>85000</v>
      </c>
      <c r="D13" s="21" t="n">
        <v>85000</v>
      </c>
      <c r="E13" s="22" t="s">
        <v>276</v>
      </c>
    </row>
    <row r="14" customFormat="false" ht="19.5" hidden="false" customHeight="true" outlineLevel="0" collapsed="false">
      <c r="A14" s="9" t="s">
        <v>277</v>
      </c>
      <c r="B14" s="21" t="n">
        <v>40</v>
      </c>
      <c r="C14" s="21" t="n">
        <v>25</v>
      </c>
      <c r="D14" s="21" t="n">
        <v>30</v>
      </c>
      <c r="E14" s="22" t="s">
        <v>278</v>
      </c>
    </row>
    <row r="15" customFormat="false" ht="19.5" hidden="false" customHeight="true" outlineLevel="0" collapsed="false">
      <c r="A15" s="9" t="s">
        <v>279</v>
      </c>
      <c r="B15" s="23" t="n">
        <f aca="false">IFERROR(B13/2080*B14,0)</f>
        <v>1634.61538461538</v>
      </c>
      <c r="C15" s="23" t="n">
        <f aca="false">IFERROR(C13/2080*C14,0)</f>
        <v>1021.63461538462</v>
      </c>
      <c r="D15" s="23" t="n">
        <f aca="false">IFERROR(D13/2080*D14,0)</f>
        <v>1225.96153846154</v>
      </c>
      <c r="E15" s="24" t="s">
        <v>280</v>
      </c>
    </row>
    <row r="16" customFormat="false" ht="19.5" hidden="false" customHeight="true" outlineLevel="0" collapsed="false">
      <c r="A16" s="9" t="s">
        <v>281</v>
      </c>
      <c r="B16" s="21" t="n">
        <v>12</v>
      </c>
      <c r="C16" s="21" t="n">
        <v>8</v>
      </c>
      <c r="D16" s="21" t="n">
        <v>10</v>
      </c>
      <c r="E16" s="22" t="s">
        <v>282</v>
      </c>
    </row>
    <row r="17" customFormat="false" ht="19.5" hidden="false" customHeight="true" outlineLevel="0" collapsed="false">
      <c r="A17" s="9" t="s">
        <v>283</v>
      </c>
      <c r="B17" s="21" t="n">
        <v>120000</v>
      </c>
      <c r="C17" s="21" t="n">
        <v>90000</v>
      </c>
      <c r="D17" s="21" t="n">
        <v>95000</v>
      </c>
      <c r="E17" s="22" t="s">
        <v>284</v>
      </c>
    </row>
    <row r="18" customFormat="false" ht="19.5" hidden="false" customHeight="true" outlineLevel="0" collapsed="false">
      <c r="A18" s="9" t="s">
        <v>285</v>
      </c>
      <c r="B18" s="23" t="n">
        <f aca="false">IFERROR(B17/2080*B16,0)</f>
        <v>692.307692307692</v>
      </c>
      <c r="C18" s="23" t="n">
        <f aca="false">IFERROR(C17/2080*C16,0)</f>
        <v>346.153846153846</v>
      </c>
      <c r="D18" s="23" t="n">
        <f aca="false">IFERROR(D17/2080*D16,0)</f>
        <v>456.730769230769</v>
      </c>
      <c r="E18" s="24" t="s">
        <v>280</v>
      </c>
    </row>
    <row r="19" customFormat="false" ht="21.75" hidden="false" customHeight="true" outlineLevel="0" collapsed="false">
      <c r="A19" s="18" t="s">
        <v>286</v>
      </c>
      <c r="B19" s="18"/>
      <c r="C19" s="18"/>
      <c r="D19" s="18"/>
      <c r="E19" s="18"/>
    </row>
    <row r="20" customFormat="false" ht="19.5" hidden="false" customHeight="true" outlineLevel="0" collapsed="false">
      <c r="A20" s="9" t="s">
        <v>287</v>
      </c>
      <c r="B20" s="21" t="n">
        <v>2000</v>
      </c>
      <c r="C20" s="21" t="n">
        <v>1000</v>
      </c>
      <c r="D20" s="21" t="n">
        <v>1500</v>
      </c>
      <c r="E20" s="22" t="s">
        <v>288</v>
      </c>
    </row>
    <row r="21" customFormat="false" ht="19.5" hidden="false" customHeight="true" outlineLevel="0" collapsed="false">
      <c r="A21" s="9" t="s">
        <v>289</v>
      </c>
      <c r="B21" s="21" t="n">
        <v>3</v>
      </c>
      <c r="C21" s="21" t="n">
        <v>4</v>
      </c>
      <c r="D21" s="21" t="n">
        <v>3</v>
      </c>
      <c r="E21" s="22" t="s">
        <v>290</v>
      </c>
    </row>
    <row r="22" customFormat="false" ht="19.5" hidden="false" customHeight="true" outlineLevel="0" collapsed="false">
      <c r="A22" s="9" t="s">
        <v>291</v>
      </c>
      <c r="B22" s="21" t="n">
        <v>110000</v>
      </c>
      <c r="C22" s="21" t="n">
        <v>75000</v>
      </c>
      <c r="D22" s="21" t="n">
        <v>90000</v>
      </c>
      <c r="E22" s="22" t="s">
        <v>292</v>
      </c>
    </row>
    <row r="23" customFormat="false" ht="19.5" hidden="false" customHeight="true" outlineLevel="0" collapsed="false">
      <c r="A23" s="9" t="s">
        <v>293</v>
      </c>
      <c r="B23" s="23" t="n">
        <f aca="false">IFERROR(B22/12*B21*0.5,0)</f>
        <v>13750</v>
      </c>
      <c r="C23" s="23" t="n">
        <f aca="false">IFERROR(C22/12*C21*0.5,0)</f>
        <v>12500</v>
      </c>
      <c r="D23" s="23" t="n">
        <f aca="false">IFERROR(D22/12*D21*0.5,0)</f>
        <v>11250</v>
      </c>
      <c r="E23" s="24" t="s">
        <v>294</v>
      </c>
    </row>
    <row r="24" customFormat="false" ht="25.5" hidden="false" customHeight="true" outlineLevel="0" collapsed="false">
      <c r="A24" s="25" t="s">
        <v>295</v>
      </c>
      <c r="B24" s="26" t="n">
        <f aca="false">B7+B8+B9+B10+B11+B15+B18+B20+B23</f>
        <v>18651.9230769231</v>
      </c>
      <c r="C24" s="26" t="n">
        <f aca="false">C7+C8+C9+C10+C11+C15+C18+C20+C23</f>
        <v>20342.7884615385</v>
      </c>
      <c r="D24" s="26" t="n">
        <f aca="false">D7+D8+D9+D10+D11+D15+D18+D20+D23</f>
        <v>14757.6923076923</v>
      </c>
      <c r="E24" s="27"/>
    </row>
    <row r="26" customFormat="false" ht="19.5" hidden="false" customHeight="true" outlineLevel="0" collapsed="false">
      <c r="A26" s="10" t="s">
        <v>296</v>
      </c>
      <c r="B26" s="28" t="n">
        <f aca="false">IFERROR(B24/B22,0)</f>
        <v>0.169562937062937</v>
      </c>
      <c r="C26" s="28" t="n">
        <f aca="false">IFERROR(C24/C22,0)</f>
        <v>0.271237179487179</v>
      </c>
      <c r="D26" s="28" t="n">
        <f aca="false">IFERROR(D24/D22,0)</f>
        <v>0.163974358974359</v>
      </c>
      <c r="E26" s="29" t="s">
        <v>297</v>
      </c>
    </row>
  </sheetData>
  <mergeCells count="6">
    <mergeCell ref="A1:E1"/>
    <mergeCell ref="A2:E2"/>
    <mergeCell ref="A4:E4"/>
    <mergeCell ref="A6:E6"/>
    <mergeCell ref="A12:E12"/>
    <mergeCell ref="A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35"/>
    <col collapsed="false" customWidth="true" hidden="false" outlineLevel="0" max="3" min="3" style="1" width="50"/>
    <col collapsed="false" customWidth="true" hidden="false" outlineLevel="0" max="4" min="4" style="1" width="22"/>
    <col collapsed="false" customWidth="true" hidden="false" outlineLevel="0" max="5" min="5" style="1" width="18"/>
  </cols>
  <sheetData>
    <row r="1" customFormat="false" ht="36" hidden="false" customHeight="true" outlineLevel="0" collapsed="false">
      <c r="A1" s="2" t="s">
        <v>298</v>
      </c>
      <c r="B1" s="2"/>
      <c r="C1" s="2"/>
      <c r="D1" s="2"/>
      <c r="E1" s="2"/>
    </row>
    <row r="2" customFormat="false" ht="21.75" hidden="false" customHeight="true" outlineLevel="0" collapsed="false">
      <c r="A2" s="3" t="s">
        <v>299</v>
      </c>
      <c r="B2" s="3"/>
      <c r="C2" s="3"/>
      <c r="D2" s="3"/>
      <c r="E2" s="3"/>
    </row>
    <row r="3" customFormat="false" ht="21.75" hidden="false" customHeight="true" outlineLevel="0" collapsed="false">
      <c r="A3" s="5" t="s">
        <v>300</v>
      </c>
      <c r="B3" s="5" t="s">
        <v>301</v>
      </c>
      <c r="C3" s="5" t="s">
        <v>302</v>
      </c>
      <c r="D3" s="5" t="s">
        <v>136</v>
      </c>
      <c r="E3" s="5" t="s">
        <v>303</v>
      </c>
    </row>
    <row r="4" customFormat="false" ht="27.75" hidden="false" customHeight="true" outlineLevel="0" collapsed="false">
      <c r="A4" s="30" t="s">
        <v>304</v>
      </c>
      <c r="B4" s="30"/>
      <c r="C4" s="30"/>
      <c r="D4" s="30"/>
      <c r="E4" s="30"/>
    </row>
    <row r="5" customFormat="false" ht="48" hidden="false" customHeight="true" outlineLevel="0" collapsed="false">
      <c r="A5" s="31" t="n">
        <v>1</v>
      </c>
      <c r="B5" s="32" t="s">
        <v>305</v>
      </c>
      <c r="C5" s="17" t="s">
        <v>306</v>
      </c>
      <c r="D5" s="33" t="s">
        <v>307</v>
      </c>
      <c r="E5" s="7" t="s">
        <v>308</v>
      </c>
    </row>
    <row r="6" customFormat="false" ht="33.75" hidden="false" customHeight="true" outlineLevel="0" collapsed="false">
      <c r="A6" s="31" t="n">
        <v>2</v>
      </c>
      <c r="B6" s="32" t="s">
        <v>309</v>
      </c>
      <c r="C6" s="17" t="s">
        <v>310</v>
      </c>
      <c r="D6" s="33" t="s">
        <v>311</v>
      </c>
      <c r="E6" s="7" t="s">
        <v>308</v>
      </c>
    </row>
    <row r="7" customFormat="false" ht="33.75" hidden="false" customHeight="true" outlineLevel="0" collapsed="false">
      <c r="A7" s="31" t="n">
        <v>3</v>
      </c>
      <c r="B7" s="32" t="s">
        <v>312</v>
      </c>
      <c r="C7" s="17" t="s">
        <v>313</v>
      </c>
      <c r="D7" s="33" t="s">
        <v>314</v>
      </c>
      <c r="E7" s="7" t="s">
        <v>308</v>
      </c>
    </row>
    <row r="8" customFormat="false" ht="33.75" hidden="false" customHeight="true" outlineLevel="0" collapsed="false">
      <c r="A8" s="31" t="n">
        <v>4</v>
      </c>
      <c r="B8" s="32" t="s">
        <v>315</v>
      </c>
      <c r="C8" s="17" t="s">
        <v>316</v>
      </c>
      <c r="D8" s="33" t="s">
        <v>317</v>
      </c>
      <c r="E8" s="7" t="s">
        <v>308</v>
      </c>
    </row>
    <row r="9" customFormat="false" ht="33.75" hidden="false" customHeight="true" outlineLevel="0" collapsed="false">
      <c r="A9" s="31" t="n">
        <v>5</v>
      </c>
      <c r="B9" s="32" t="s">
        <v>318</v>
      </c>
      <c r="C9" s="17" t="s">
        <v>319</v>
      </c>
      <c r="D9" s="33" t="s">
        <v>314</v>
      </c>
      <c r="E9" s="7" t="s">
        <v>308</v>
      </c>
    </row>
    <row r="10" customFormat="false" ht="33.75" hidden="false" customHeight="true" outlineLevel="0" collapsed="false">
      <c r="A10" s="31" t="n">
        <v>6</v>
      </c>
      <c r="B10" s="32" t="s">
        <v>320</v>
      </c>
      <c r="C10" s="17" t="s">
        <v>321</v>
      </c>
      <c r="D10" s="33" t="s">
        <v>322</v>
      </c>
      <c r="E10" s="7" t="s">
        <v>308</v>
      </c>
    </row>
    <row r="11" customFormat="false" ht="48" hidden="false" customHeight="true" outlineLevel="0" collapsed="false">
      <c r="A11" s="31" t="n">
        <v>7</v>
      </c>
      <c r="B11" s="32" t="s">
        <v>323</v>
      </c>
      <c r="C11" s="17" t="s">
        <v>324</v>
      </c>
      <c r="D11" s="33" t="s">
        <v>317</v>
      </c>
      <c r="E11" s="7" t="s">
        <v>308</v>
      </c>
    </row>
    <row r="12" customFormat="false" ht="48" hidden="false" customHeight="true" outlineLevel="0" collapsed="false">
      <c r="A12" s="31" t="n">
        <v>8</v>
      </c>
      <c r="B12" s="32" t="s">
        <v>325</v>
      </c>
      <c r="C12" s="17" t="s">
        <v>326</v>
      </c>
      <c r="D12" s="33" t="s">
        <v>327</v>
      </c>
      <c r="E12" s="7" t="s">
        <v>308</v>
      </c>
    </row>
    <row r="14" customFormat="false" ht="27.75" hidden="false" customHeight="true" outlineLevel="0" collapsed="false">
      <c r="A14" s="34" t="s">
        <v>328</v>
      </c>
      <c r="B14" s="34"/>
      <c r="C14" s="34"/>
      <c r="D14" s="34"/>
      <c r="E14" s="34"/>
    </row>
    <row r="15" customFormat="false" ht="33.75" hidden="false" customHeight="true" outlineLevel="0" collapsed="false">
      <c r="A15" s="31" t="n">
        <v>9</v>
      </c>
      <c r="B15" s="32" t="s">
        <v>329</v>
      </c>
      <c r="C15" s="17" t="s">
        <v>330</v>
      </c>
      <c r="D15" s="33" t="s">
        <v>314</v>
      </c>
      <c r="E15" s="7" t="s">
        <v>308</v>
      </c>
    </row>
    <row r="16" customFormat="false" ht="33.75" hidden="false" customHeight="true" outlineLevel="0" collapsed="false">
      <c r="A16" s="31" t="n">
        <v>10</v>
      </c>
      <c r="B16" s="32" t="s">
        <v>331</v>
      </c>
      <c r="C16" s="17" t="s">
        <v>332</v>
      </c>
      <c r="D16" s="33" t="s">
        <v>314</v>
      </c>
      <c r="E16" s="7" t="s">
        <v>308</v>
      </c>
    </row>
    <row r="17" customFormat="false" ht="33.75" hidden="false" customHeight="true" outlineLevel="0" collapsed="false">
      <c r="A17" s="31" t="n">
        <v>11</v>
      </c>
      <c r="B17" s="32" t="s">
        <v>333</v>
      </c>
      <c r="C17" s="17" t="s">
        <v>334</v>
      </c>
      <c r="D17" s="33" t="s">
        <v>314</v>
      </c>
      <c r="E17" s="7" t="s">
        <v>308</v>
      </c>
    </row>
    <row r="18" customFormat="false" ht="33.75" hidden="false" customHeight="true" outlineLevel="0" collapsed="false">
      <c r="A18" s="31" t="n">
        <v>12</v>
      </c>
      <c r="B18" s="32" t="s">
        <v>335</v>
      </c>
      <c r="C18" s="17" t="s">
        <v>336</v>
      </c>
      <c r="D18" s="33" t="s">
        <v>317</v>
      </c>
      <c r="E18" s="7" t="s">
        <v>308</v>
      </c>
    </row>
    <row r="19" customFormat="false" ht="30" hidden="false" customHeight="true" outlineLevel="0" collapsed="false">
      <c r="A19" s="31" t="n">
        <v>13</v>
      </c>
      <c r="B19" s="32" t="s">
        <v>337</v>
      </c>
      <c r="C19" s="17" t="s">
        <v>338</v>
      </c>
      <c r="D19" s="33" t="s">
        <v>314</v>
      </c>
      <c r="E19" s="7" t="s">
        <v>308</v>
      </c>
    </row>
    <row r="20" customFormat="false" ht="33.75" hidden="false" customHeight="true" outlineLevel="0" collapsed="false">
      <c r="A20" s="31" t="n">
        <v>14</v>
      </c>
      <c r="B20" s="32" t="s">
        <v>339</v>
      </c>
      <c r="C20" s="17" t="s">
        <v>340</v>
      </c>
      <c r="D20" s="33" t="s">
        <v>327</v>
      </c>
      <c r="E20" s="7" t="s">
        <v>308</v>
      </c>
    </row>
    <row r="22" customFormat="false" ht="27.75" hidden="false" customHeight="true" outlineLevel="0" collapsed="false">
      <c r="A22" s="35" t="s">
        <v>341</v>
      </c>
      <c r="B22" s="35"/>
      <c r="C22" s="35"/>
      <c r="D22" s="35"/>
      <c r="E22" s="35"/>
    </row>
    <row r="23" customFormat="false" ht="48" hidden="false" customHeight="true" outlineLevel="0" collapsed="false">
      <c r="A23" s="31" t="n">
        <v>15</v>
      </c>
      <c r="B23" s="32" t="s">
        <v>342</v>
      </c>
      <c r="C23" s="17" t="s">
        <v>343</v>
      </c>
      <c r="D23" s="33" t="s">
        <v>314</v>
      </c>
      <c r="E23" s="7" t="s">
        <v>308</v>
      </c>
    </row>
    <row r="24" customFormat="false" ht="48" hidden="false" customHeight="true" outlineLevel="0" collapsed="false">
      <c r="A24" s="31" t="n">
        <v>16</v>
      </c>
      <c r="B24" s="32" t="s">
        <v>344</v>
      </c>
      <c r="C24" s="17" t="s">
        <v>345</v>
      </c>
      <c r="D24" s="33" t="s">
        <v>314</v>
      </c>
      <c r="E24" s="7" t="s">
        <v>308</v>
      </c>
    </row>
    <row r="25" customFormat="false" ht="33.75" hidden="false" customHeight="true" outlineLevel="0" collapsed="false">
      <c r="A25" s="31" t="n">
        <v>17</v>
      </c>
      <c r="B25" s="32" t="s">
        <v>346</v>
      </c>
      <c r="C25" s="17" t="s">
        <v>347</v>
      </c>
      <c r="D25" s="33" t="s">
        <v>317</v>
      </c>
      <c r="E25" s="7" t="s">
        <v>308</v>
      </c>
    </row>
    <row r="26" customFormat="false" ht="33.75" hidden="false" customHeight="true" outlineLevel="0" collapsed="false">
      <c r="A26" s="31" t="n">
        <v>18</v>
      </c>
      <c r="B26" s="32" t="s">
        <v>348</v>
      </c>
      <c r="C26" s="17" t="s">
        <v>349</v>
      </c>
      <c r="D26" s="33" t="s">
        <v>314</v>
      </c>
      <c r="E26" s="7" t="s">
        <v>308</v>
      </c>
    </row>
    <row r="27" customFormat="false" ht="33.75" hidden="false" customHeight="true" outlineLevel="0" collapsed="false">
      <c r="A27" s="31" t="n">
        <v>19</v>
      </c>
      <c r="B27" s="32" t="s">
        <v>350</v>
      </c>
      <c r="C27" s="17" t="s">
        <v>351</v>
      </c>
      <c r="D27" s="33" t="s">
        <v>317</v>
      </c>
      <c r="E27" s="7" t="s">
        <v>308</v>
      </c>
    </row>
    <row r="28" customFormat="false" ht="33.75" hidden="false" customHeight="true" outlineLevel="0" collapsed="false">
      <c r="A28" s="31" t="n">
        <v>20</v>
      </c>
      <c r="B28" s="32" t="s">
        <v>352</v>
      </c>
      <c r="C28" s="17" t="s">
        <v>353</v>
      </c>
      <c r="D28" s="33" t="s">
        <v>317</v>
      </c>
      <c r="E28" s="7" t="s">
        <v>308</v>
      </c>
    </row>
    <row r="29" customFormat="false" ht="33.75" hidden="false" customHeight="true" outlineLevel="0" collapsed="false">
      <c r="A29" s="31" t="n">
        <v>21</v>
      </c>
      <c r="B29" s="32" t="s">
        <v>354</v>
      </c>
      <c r="C29" s="17" t="s">
        <v>355</v>
      </c>
      <c r="D29" s="33" t="s">
        <v>356</v>
      </c>
      <c r="E29" s="7" t="s">
        <v>308</v>
      </c>
    </row>
  </sheetData>
  <mergeCells count="5">
    <mergeCell ref="A1:E1"/>
    <mergeCell ref="A2:E2"/>
    <mergeCell ref="A4:E4"/>
    <mergeCell ref="A14:E14"/>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2026-04-14T20:33:12Z</dcterms:created>
  <dc:creator>openpyxl</dc:creator>
  <dc:description/>
  <dc:language>en-US</dc:language>
  <cp:lastModifiedBy/>
  <dcterms:modified xsi:type="dcterms:W3CDTF">2026-04-14T20:33:29Z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